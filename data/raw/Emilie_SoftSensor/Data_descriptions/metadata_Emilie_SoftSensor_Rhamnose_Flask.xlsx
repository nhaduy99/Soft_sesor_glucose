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tudentutsedu-my.sharepoint.com/personal/emilie_gober_uts_edu_au/Documents/Documents/Emilie_SoftSensor/"/>
    </mc:Choice>
  </mc:AlternateContent>
  <xr:revisionPtr revIDLastSave="1888" documentId="8_{126B603E-6724-4C0D-A19C-92CCD8451626}" xr6:coauthVersionLast="47" xr6:coauthVersionMax="47" xr10:uidLastSave="{F191DC20-D926-453D-AEFB-5DECD8BE6719}"/>
  <bookViews>
    <workbookView xWindow="-105" yWindow="0" windowWidth="14610" windowHeight="15585" xr2:uid="{00000000-000D-0000-FFFF-FFFF00000000}"/>
  </bookViews>
  <sheets>
    <sheet name="EEM_Metadata_Flask" sheetId="1" r:id="rId1"/>
    <sheet name="Raman_Metadata_Flask" sheetId="4" r:id="rId2"/>
    <sheet name="HPLC_Metadata_Flask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4" l="1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392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44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278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30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164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tc={66106038-B687-4382-90A3-FF34AE23F2DB}</author>
    <author>tc={B10BEC5C-33FA-4DAF-9F99-310B26213471}</author>
  </authors>
  <commentList>
    <comment ref="A1" authorId="0" shapeId="0" xr:uid="{66106038-B687-4382-90A3-FF34AE23F2DB}">
      <text>
        <t>[Threaded comment]
Your version of Excel allows you to read this threaded comment; however, any edits to it will get removed if the file is opened in a newer version of Excel. Learn more: https://go.microsoft.com/fwlink/?linkid=870924
Comment:
    Does it need to be similar/same to the EEM file names? Or is it okay like this?</t>
      </text>
    </comment>
    <comment ref="W1" authorId="1" shapeId="0" xr:uid="{B10BEC5C-33FA-4DAF-9F99-310B26213471}">
      <text>
        <t>[Threaded comment]
Your version of Excel allows you to read this threaded comment; however, any edits to it will get removed if the file is opened in a newer version of Excel. Learn more: https://go.microsoft.com/fwlink/?linkid=870924
Comment:
    Volume in which it is grown or measured??</t>
      </text>
    </comment>
  </commentList>
</comments>
</file>

<file path=xl/sharedStrings.xml><?xml version="1.0" encoding="utf-8"?>
<sst xmlns="http://schemas.openxmlformats.org/spreadsheetml/2006/main" count="13945" uniqueCount="257">
  <si>
    <t>FileName</t>
  </si>
  <si>
    <t>Strain</t>
  </si>
  <si>
    <t>Pigments</t>
  </si>
  <si>
    <t>ConcentrationP_unit</t>
  </si>
  <si>
    <t>Creator</t>
  </si>
  <si>
    <t>Experiment</t>
  </si>
  <si>
    <t>Plate</t>
  </si>
  <si>
    <t>Well</t>
  </si>
  <si>
    <t>Comment</t>
  </si>
  <si>
    <t>CorE</t>
  </si>
  <si>
    <t>OD750</t>
  </si>
  <si>
    <t>Biomass_unit</t>
  </si>
  <si>
    <t>Temperature_C</t>
  </si>
  <si>
    <t>Media</t>
  </si>
  <si>
    <t>Date</t>
  </si>
  <si>
    <t>CultureDuration_hours</t>
  </si>
  <si>
    <t>LightIntensity_umolm2s1</t>
  </si>
  <si>
    <t>LightColor</t>
  </si>
  <si>
    <t>LightTime_hours</t>
  </si>
  <si>
    <t>DarkTime_hours</t>
  </si>
  <si>
    <t>Support</t>
  </si>
  <si>
    <t>Agitation</t>
  </si>
  <si>
    <t>Totalvol_mL</t>
  </si>
  <si>
    <t>Gain</t>
  </si>
  <si>
    <t>ExcitationRange</t>
  </si>
  <si>
    <t>ExcitationStep</t>
  </si>
  <si>
    <t>EmissionRange</t>
  </si>
  <si>
    <t>EmissionStep</t>
  </si>
  <si>
    <t>DataType</t>
  </si>
  <si>
    <t>Pavlova gyrans</t>
  </si>
  <si>
    <t>unk</t>
  </si>
  <si>
    <t>EG</t>
  </si>
  <si>
    <t>B2</t>
  </si>
  <si>
    <t>EEM trial</t>
  </si>
  <si>
    <t>Culture</t>
  </si>
  <si>
    <t>F2-N0</t>
  </si>
  <si>
    <t>White</t>
  </si>
  <si>
    <t>NA</t>
  </si>
  <si>
    <t>240-500</t>
  </si>
  <si>
    <t>300-650</t>
  </si>
  <si>
    <t>raw</t>
  </si>
  <si>
    <t>B3</t>
  </si>
  <si>
    <t>F2-N2</t>
  </si>
  <si>
    <t>B4</t>
  </si>
  <si>
    <t>F2-N4</t>
  </si>
  <si>
    <t>B5</t>
  </si>
  <si>
    <t>F2-N6</t>
  </si>
  <si>
    <t>B6</t>
  </si>
  <si>
    <t>F2-S1</t>
  </si>
  <si>
    <t>B7</t>
  </si>
  <si>
    <t>F2-S3</t>
  </si>
  <si>
    <t>B8</t>
  </si>
  <si>
    <t>F2-S5</t>
  </si>
  <si>
    <t>B9</t>
  </si>
  <si>
    <t>F2-S7</t>
  </si>
  <si>
    <t>B10</t>
  </si>
  <si>
    <t>F2-B2</t>
  </si>
  <si>
    <t>B11</t>
  </si>
  <si>
    <t>F2-B4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</si>
  <si>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</si>
  <si>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</si>
  <si>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</si>
  <si>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</si>
  <si>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</si>
  <si>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</si>
  <si>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</si>
  <si>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</si>
  <si>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</si>
  <si>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</si>
  <si>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</si>
  <si>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</si>
  <si>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</si>
  <si>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</si>
  <si>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</si>
  <si>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</si>
  <si>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</si>
  <si>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</si>
  <si>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</si>
  <si>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</si>
  <si>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E2</t>
  </si>
  <si>
    <t>F2-N1</t>
  </si>
  <si>
    <t>E3</t>
  </si>
  <si>
    <t>F2-N3</t>
  </si>
  <si>
    <t>E4</t>
  </si>
  <si>
    <t>F2-N5</t>
  </si>
  <si>
    <t>E5</t>
  </si>
  <si>
    <t>F2-N7</t>
  </si>
  <si>
    <t>E6</t>
  </si>
  <si>
    <t>F2-S2</t>
  </si>
  <si>
    <t>E7</t>
  </si>
  <si>
    <t>F2-S4</t>
  </si>
  <si>
    <t>E8</t>
  </si>
  <si>
    <t>F2-S6</t>
  </si>
  <si>
    <t>E9</t>
  </si>
  <si>
    <t>F2-B1</t>
  </si>
  <si>
    <t>E10</t>
  </si>
  <si>
    <t>F2-B3</t>
  </si>
  <si>
    <t>E11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</si>
  <si>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</si>
  <si>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</si>
  <si>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</si>
  <si>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</si>
  <si>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</si>
  <si>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</si>
  <si>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</si>
  <si>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</si>
  <si>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</si>
  <si>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</si>
  <si>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2026-02-26T00:00:00Z</t>
  </si>
  <si>
    <t>EEM_EG_Pavlovagyrans_raw_002_001_A1.csv</t>
  </si>
  <si>
    <t>A1</t>
  </si>
  <si>
    <t>2026-03-03T00:00:00Z</t>
  </si>
  <si>
    <t>CellFlask</t>
  </si>
  <si>
    <t>EEM_EG_Pavlovagyrans_raw_002_001_A2.csv</t>
  </si>
  <si>
    <t>A2</t>
  </si>
  <si>
    <t>EEM_EG_Pavlovagyrans_raw_002_001_A3.csv</t>
  </si>
  <si>
    <t>A3</t>
  </si>
  <si>
    <t>EEM_EG_Pavlovagyrans_raw_002_001_A4.csv</t>
  </si>
  <si>
    <t>A4</t>
  </si>
  <si>
    <t>EEM_EG_Pavlovagyrans_raw_002_001_A5.csv</t>
  </si>
  <si>
    <t>A5</t>
  </si>
  <si>
    <t>EEM_EG_Pavlovagyrans_raw_002_001_A6.csv</t>
  </si>
  <si>
    <t>A6</t>
  </si>
  <si>
    <t>EEM_EG_Pavlovagyrans_raw_002_001_A7.csv</t>
  </si>
  <si>
    <t>A7</t>
  </si>
  <si>
    <t>EEM_EG_Pavlovagyrans_raw_002_001_A8.csv</t>
  </si>
  <si>
    <t>A8</t>
  </si>
  <si>
    <t>EEM_EG_Pavlovagyrans_raw_002_001_B1.csv</t>
  </si>
  <si>
    <t>B1</t>
  </si>
  <si>
    <t>EEM_EG_Pavlovagyrans_raw_002_001_B2.csv</t>
  </si>
  <si>
    <t>EEM_EG_Pavlovagyrans_raw_002_001_B3.csv</t>
  </si>
  <si>
    <t>EEM_EG_Pavlovagyrans_raw_002_001_B4.csv</t>
  </si>
  <si>
    <t>EEM_EG_Pavlovagyrans_raw_002_001_B5.csv</t>
  </si>
  <si>
    <t>EEM_EG_Pavlovagyrans_raw_002_001_B6.csv</t>
  </si>
  <si>
    <t>EEM_EG_Pavlovagyrans_raw_002_001_B7.csv</t>
  </si>
  <si>
    <t>EEM_EG_Pavlovagyrans_raw_002_001_B8.csv</t>
  </si>
  <si>
    <t>EEM_EG_Pavlovagyrans_raw_002_001_C1.csv</t>
  </si>
  <si>
    <t>C1</t>
  </si>
  <si>
    <t>EEM_EG_Pavlovagyrans_raw_002_001_C2.csv</t>
  </si>
  <si>
    <t>EEM_EG_Pavlovagyrans_raw_002_001_C3.csv</t>
  </si>
  <si>
    <t>EEM_EG_Pavlovagyrans_raw_002_001_C4.csv</t>
  </si>
  <si>
    <t>EEM_EG_Pavlovagyrans_raw_002_001_C5.csv</t>
  </si>
  <si>
    <t>EEM_EG_Pavlovagyrans_raw_002_001_C6.csv</t>
  </si>
  <si>
    <t>EEM_EG_Pavlovagyrans_raw_002_001_C7.csv</t>
  </si>
  <si>
    <t>EEM_EG_Pavlovagyrans_raw_002_001_C8.csv</t>
  </si>
  <si>
    <t>EEM_EG_Pavlovagyrans_raw_002_001_D1.csv</t>
  </si>
  <si>
    <t>D1</t>
  </si>
  <si>
    <t>EEM_EG_Pavlovagyrans_raw_002_001_D2.csv</t>
  </si>
  <si>
    <t>EEM_EG_Pavlovagyrans_raw_002_001_D3.csv</t>
  </si>
  <si>
    <t>EEM_EG_Pavlovagyrans_raw_002_001_D4.csv</t>
  </si>
  <si>
    <t>EEM_EG_Pavlovagyrans_raw_002_001_D5.csv</t>
  </si>
  <si>
    <t>EEM_EG_Pavlovagyrans_raw_002_001_D6.csv</t>
  </si>
  <si>
    <t>EEM_EG_Pavlovagyrans_raw_002_001_D7.csv</t>
  </si>
  <si>
    <t>EEM_EG_Pavlovagyrans_raw_002_001_D8.csv</t>
  </si>
  <si>
    <t>EEM_EG_Pavlovagyrans_raw_002_001_E1.csv</t>
  </si>
  <si>
    <t>E1</t>
  </si>
  <si>
    <t>EEM_EG_Pavlovagyrans_raw_002_001_E2.csv</t>
  </si>
  <si>
    <t>EEM_EG_Pavlovagyrans_raw_002_001_E3.csv</t>
  </si>
  <si>
    <t>EEM_EG_Pavlovagyrans_raw_002_001_E4.csv</t>
  </si>
  <si>
    <t>EEM_EG_Pavlovagyrans_raw_002_001_E5.csv</t>
  </si>
  <si>
    <t>EEM_EG_Pavlovagyrans_raw_002_001_E6.csv</t>
  </si>
  <si>
    <t>EEM_EG_Pavlovagyrans_raw_002_001_E7.csv</t>
  </si>
  <si>
    <t>EEM_EG_Pavlovagyrans_raw_002_001_E8.csv</t>
  </si>
  <si>
    <t>EEM_EG_Pavlovagyrans_raw_002_001_F1.csv</t>
  </si>
  <si>
    <t>F1</t>
  </si>
  <si>
    <t>EEM_EG_Pavlovagyrans_raw_002_001_F2.csv</t>
  </si>
  <si>
    <t>EEM_EG_Pavlovagyrans_raw_002_001_F3.csv</t>
  </si>
  <si>
    <t>EEM_EG_Pavlovagyrans_raw_002_001_F4.csv</t>
  </si>
  <si>
    <t>EEM_EG_Pavlovagyrans_raw_002_001_F5.csv</t>
  </si>
  <si>
    <t>EEM_EG_Pavlovagyrans_raw_002_001_F6.csv</t>
  </si>
  <si>
    <t>EEM_EG_Pavlovagyrans_raw_002_001_F7.csv</t>
  </si>
  <si>
    <t>EEM_EG_Pavlovagyrans_raw_002_001_F8.csv</t>
  </si>
  <si>
    <t>EEM_EG_Pavlovagyrans_raw_002_002_A1.csv</t>
  </si>
  <si>
    <t>2026-03-04T00:00:00Z</t>
  </si>
  <si>
    <t>EEM_EG_Pavlovagyrans_raw_002_002_A2.csv</t>
  </si>
  <si>
    <t>EEM_EG_Pavlovagyrans_raw_002_002_A3.csv</t>
  </si>
  <si>
    <t>EEM_EG_Pavlovagyrans_raw_002_002_A4.csv</t>
  </si>
  <si>
    <t>EEM_EG_Pavlovagyrans_raw_002_002_A5.csv</t>
  </si>
  <si>
    <t>EEM_EG_Pavlovagyrans_raw_002_002_A6.csv</t>
  </si>
  <si>
    <t>EEM_EG_Pavlovagyrans_raw_002_002_A7.csv</t>
  </si>
  <si>
    <t>EEM_EG_Pavlovagyrans_raw_002_002_A8.csv</t>
  </si>
  <si>
    <t>EEM_EG_Pavlovagyrans_raw_002_002_A9.csv</t>
  </si>
  <si>
    <t>A9</t>
  </si>
  <si>
    <t>EEM_EG_Pavlovagyrans_raw_002_002_A10.csv</t>
  </si>
  <si>
    <t>A10</t>
  </si>
  <si>
    <t>EEM_EG_Pavlovagyrans_raw_002_002_A11.csv</t>
  </si>
  <si>
    <t>A11</t>
  </si>
  <si>
    <t>EEM_EG_Pavlovagyrans_raw_002_002_B1.csv</t>
  </si>
  <si>
    <t>EEM_EG_Pavlovagyrans_raw_002_002_B2.csv</t>
  </si>
  <si>
    <t>EEM_EG_Pavlovagyrans_raw_002_002_B3.csv</t>
  </si>
  <si>
    <t>EEM_EG_Pavlovagyrans_raw_002_002_B4.csv</t>
  </si>
  <si>
    <t>EEM_EG_Pavlovagyrans_raw_002_002_B5.csv</t>
  </si>
  <si>
    <t>EEM_EG_Pavlovagyrans_raw_002_002_B6.csv</t>
  </si>
  <si>
    <t>EEM_EG_Pavlovagyrans_raw_002_002_B7.csv</t>
  </si>
  <si>
    <t>EEM_EG_Pavlovagyrans_raw_002_002_B8.csv</t>
  </si>
  <si>
    <t>EEM_EG_Pavlovagyrans_raw_002_002_B9.csv</t>
  </si>
  <si>
    <t>EEM_EG_Pavlovagyrans_raw_002_002_B10.csv</t>
  </si>
  <si>
    <t>EEM_EG_Pavlovagyrans_raw_002_002_B11.csv</t>
  </si>
  <si>
    <t>EEM_EG_Pavlovagyrans_raw_002_002_C1.csv</t>
  </si>
  <si>
    <t>EEM_EG_Pavlovagyrans_raw_002_002_C2.csv</t>
  </si>
  <si>
    <t>EEM_EG_Pavlovagyrans_raw_002_002_C3.csv</t>
  </si>
  <si>
    <t>EEM_EG_Pavlovagyrans_raw_002_002_C4.csv</t>
  </si>
  <si>
    <t>EEM_EG_Pavlovagyrans_raw_002_002_C5.csv</t>
  </si>
  <si>
    <t>EEM_EG_Pavlovagyrans_raw_002_002_C6.csv</t>
  </si>
  <si>
    <t>EEM_EG_Pavlovagyrans_raw_002_002_C7.csv</t>
  </si>
  <si>
    <t>EEM_EG_Pavlovagyrans_raw_002_002_C8.csv</t>
  </si>
  <si>
    <t>EEM_EG_Pavlovagyrans_raw_002_002_C9.csv</t>
  </si>
  <si>
    <t>EEM_EG_Pavlovagyrans_raw_002_002_C10.csv</t>
  </si>
  <si>
    <t>EEM_EG_Pavlovagyrans_raw_002_002_C11.csv</t>
  </si>
  <si>
    <t>EEM_EG_Pavlovagyrans_raw_002_002_D1.csv</t>
  </si>
  <si>
    <t>EEM_EG_Pavlovagyrans_raw_002_002_D2.csv</t>
  </si>
  <si>
    <t>EEM_EG_Pavlovagyrans_raw_002_002_D3.csv</t>
  </si>
  <si>
    <t>EEM_EG_Pavlovagyrans_raw_002_002_D4.csv</t>
  </si>
  <si>
    <t>EEM_EG_Pavlovagyrans_raw_002_002_D5.csv</t>
  </si>
  <si>
    <t>EEM_EG_Pavlovagyrans_raw_002_002_D6.csv</t>
  </si>
  <si>
    <t>EEM_EG_Pavlovagyrans_raw_002_002_D7.csv</t>
  </si>
  <si>
    <t>EEM_EG_Pavlovagyrans_raw_002_002_D8.csv</t>
  </si>
  <si>
    <t>EEM_EG_Pavlovagyrans_raw_002_002_D9.csv</t>
  </si>
  <si>
    <t>EEM_EG_Pavlovagyrans_raw_002_002_D10.csv</t>
  </si>
  <si>
    <t>EEM_EG_Pavlovagyrans_raw_002_002_D11.csv</t>
  </si>
  <si>
    <t>EEM_EG_Pavlovagyrans_raw_002_002_E1.csv</t>
  </si>
  <si>
    <t>EEM_EG_Pavlovagyrans_raw_002_002_E2.csv</t>
  </si>
  <si>
    <t>EEM_EG_Pavlovagyrans_raw_002_002_E3.csv</t>
  </si>
  <si>
    <t>EEM_EG_Pavlovagyrans_raw_002_002_E4.csv</t>
  </si>
  <si>
    <t>EEM_EG_Pavlovagyrans_raw_002_002_E5.csv</t>
  </si>
  <si>
    <t>EEM_EG_Pavlovagyrans_raw_002_002_E6.csv</t>
  </si>
  <si>
    <t>EEM_EG_Pavlovagyrans_raw_002_002_E7.csv</t>
  </si>
  <si>
    <t>EEM_EG_Pavlovagyrans_raw_002_002_E8.csv</t>
  </si>
  <si>
    <t>EEM_EG_Pavlovagyrans_raw_002_002_E9.csv</t>
  </si>
  <si>
    <t>EEM_EG_Pavlovagyrans_raw_002_002_E10.csv</t>
  </si>
  <si>
    <t>EEM_EG_Pavlovagyrans_raw_002_002_E11.csv</t>
  </si>
  <si>
    <t>EEM_EG_Pavlovagyrans_raw_002_002_F1.csv</t>
  </si>
  <si>
    <t>EEM_EG_Pavlovagyrans_raw_002_002_F2.csv</t>
  </si>
  <si>
    <t>EEM_EG_Pavlovagyrans_raw_002_002_F3.csv</t>
  </si>
  <si>
    <t>EEM_EG_Pavlovagyrans_raw_002_002_F4.csv</t>
  </si>
  <si>
    <t>EEM_EG_Pavlovagyrans_raw_002_002_F5.csv</t>
  </si>
  <si>
    <t>EEM_EG_Pavlovagyrans_raw_002_002_F6.csv</t>
  </si>
  <si>
    <t>EEM_EG_Pavlovagyrans_raw_002_002_F7.csv</t>
  </si>
  <si>
    <t>EEM_EG_Pavlovagyrans_raw_002_002_F8.csv</t>
  </si>
  <si>
    <t>EEM_EG_Pavlovagyrans_raw_002_002_F9.csv</t>
  </si>
  <si>
    <t>EEM_EG_Pavlovagyrans_raw_002_002_F10.csv</t>
  </si>
  <si>
    <t>EEM_EG_Pavlovagyrans_raw_002_002_F11.csv</t>
  </si>
  <si>
    <t>2026-03-17T00:00:00Z</t>
  </si>
  <si>
    <t>2026-03-18T00:00:00Z</t>
  </si>
  <si>
    <t>2026-03-31T00:00:00Z</t>
  </si>
  <si>
    <t>2026-04-01T00:00:00Z</t>
  </si>
  <si>
    <t>EEM_EG_Pavlovagyrans_raw_003_001_A1.csv</t>
  </si>
  <si>
    <t>SchottBottle</t>
  </si>
  <si>
    <t>EEM_EG_Pavlovagyrans_raw_003_001_A2.csv</t>
  </si>
  <si>
    <t>EEM_EG_Pavlovagyrans_raw_003_001_A3.csv</t>
  </si>
  <si>
    <t>LaserWavelength_nm</t>
  </si>
  <si>
    <t>LaserPower_mW</t>
  </si>
  <si>
    <t>MinRangeLimit_cm-1</t>
  </si>
  <si>
    <t>MaxRangeLimit_cm-1</t>
  </si>
  <si>
    <t>Aperture_umSlit</t>
  </si>
  <si>
    <t>Pavlovagyrans</t>
  </si>
  <si>
    <t>Raman 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</si>
</sst>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3">
    <xf numFmtId="0" fontId="0" fillId="0" borderId="0" xfId="0"/>
    <xf numFmtId="0" fontId="18" fillId="0" borderId="0" xfId="0" applyFont="1"/>
    <xf numFmtId="0" fontId="20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72403CEE-3903-4EE1-BC2B-B9F289108AB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Emilie Gober" id="{6CF1B434-7CAD-413A-BDEC-F795CDEF460A}" userId="S::Emilie.Gober@uts.edu.au::2e7246b8-1cf1-464c-a45e-13723440c630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3-09T04:38:37.10" personId="{6CF1B434-7CAD-413A-BDEC-F795CDEF460A}" id="{66106038-B687-4382-90A3-FF34AE23F2DB}">
    <text>Does it need to be similar/same to the EEM file names? Or is it okay like this?</text>
  </threadedComment>
  <threadedComment ref="W1" dT="2026-03-10T03:03:31.43" personId="{6CF1B434-7CAD-413A-BDEC-F795CDEF460A}" id="{B10BEC5C-33FA-4DAF-9F99-310B26213471}">
    <text>Volume in which it is grown or measured??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C460"/>
  <sheetViews>
    <sheetView tabSelected="1" topLeftCell="B1" workbookViewId="0">
      <pane ySplit="1" topLeftCell="A586" activePane="bottomLeft" state="frozen"/>
      <selection pane="bottomLeft" activeCell="B461" sqref="A461:XFD613"/>
    </sheetView>
  </sheetViews>
  <sheetFormatPr defaultRowHeight="15" x14ac:dyDescent="0.25"/>
  <cols>
    <col min="1" max="1" width="55.28515625" bestFit="1" customWidth="1"/>
    <col min="2" max="2" width="24.85546875" bestFit="1" customWidth="1"/>
    <col min="6" max="6" width="11.28515625" bestFit="1" customWidth="1"/>
    <col min="15" max="15" width="10.8554687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109</v>
      </c>
      <c r="B2" t="s">
        <v>29</v>
      </c>
      <c r="C2" t="s">
        <v>30</v>
      </c>
      <c r="D2" t="s">
        <v>30</v>
      </c>
      <c r="E2" t="s">
        <v>31</v>
      </c>
      <c r="F2">
        <v>2</v>
      </c>
      <c r="G2">
        <v>1</v>
      </c>
      <c r="H2" t="s">
        <v>110</v>
      </c>
      <c r="I2" t="s">
        <v>33</v>
      </c>
      <c r="J2" t="s">
        <v>34</v>
      </c>
      <c r="K2" s="1">
        <v>7.4800000000000005E-2</v>
      </c>
      <c r="L2" t="s">
        <v>30</v>
      </c>
      <c r="M2">
        <v>22</v>
      </c>
      <c r="N2" t="s">
        <v>35</v>
      </c>
      <c r="O2" t="s">
        <v>111</v>
      </c>
      <c r="P2">
        <v>0</v>
      </c>
      <c r="Q2">
        <v>100</v>
      </c>
      <c r="R2" t="s">
        <v>36</v>
      </c>
      <c r="S2">
        <v>12</v>
      </c>
      <c r="T2">
        <v>12</v>
      </c>
      <c r="U2" t="s">
        <v>112</v>
      </c>
      <c r="V2" t="s">
        <v>37</v>
      </c>
      <c r="W2">
        <v>450</v>
      </c>
      <c r="X2">
        <v>60</v>
      </c>
      <c r="Y2" t="s">
        <v>38</v>
      </c>
      <c r="Z2">
        <v>20</v>
      </c>
      <c r="AA2" t="s">
        <v>39</v>
      </c>
      <c r="AB2">
        <v>20</v>
      </c>
      <c r="AC2" t="s">
        <v>40</v>
      </c>
    </row>
    <row r="3" spans="1:29" x14ac:dyDescent="0.25">
      <c r="A3" t="s">
        <v>113</v>
      </c>
      <c r="B3" t="s">
        <v>29</v>
      </c>
      <c r="C3" t="s">
        <v>30</v>
      </c>
      <c r="D3" t="s">
        <v>30</v>
      </c>
      <c r="E3" t="s">
        <v>31</v>
      </c>
      <c r="F3">
        <v>2</v>
      </c>
      <c r="G3">
        <v>1</v>
      </c>
      <c r="H3" t="s">
        <v>114</v>
      </c>
      <c r="I3" t="s">
        <v>33</v>
      </c>
      <c r="J3" t="s">
        <v>34</v>
      </c>
      <c r="K3" s="1">
        <v>7.3800000000000004E-2</v>
      </c>
      <c r="L3" t="s">
        <v>30</v>
      </c>
      <c r="M3">
        <v>22</v>
      </c>
      <c r="N3" t="s">
        <v>80</v>
      </c>
      <c r="O3" t="s">
        <v>111</v>
      </c>
      <c r="P3">
        <v>0</v>
      </c>
      <c r="Q3">
        <v>100</v>
      </c>
      <c r="R3" t="s">
        <v>36</v>
      </c>
      <c r="S3">
        <v>12</v>
      </c>
      <c r="T3">
        <v>12</v>
      </c>
      <c r="U3" t="s">
        <v>112</v>
      </c>
      <c r="V3" t="s">
        <v>37</v>
      </c>
      <c r="W3">
        <v>450</v>
      </c>
      <c r="X3">
        <v>60</v>
      </c>
      <c r="Y3" t="s">
        <v>38</v>
      </c>
      <c r="Z3">
        <v>20</v>
      </c>
      <c r="AA3" t="s">
        <v>39</v>
      </c>
      <c r="AB3">
        <v>20</v>
      </c>
      <c r="AC3" t="s">
        <v>40</v>
      </c>
    </row>
    <row r="4" spans="1:29" x14ac:dyDescent="0.25">
      <c r="A4" t="s">
        <v>115</v>
      </c>
      <c r="B4" t="s">
        <v>29</v>
      </c>
      <c r="C4" t="s">
        <v>30</v>
      </c>
      <c r="D4" t="s">
        <v>30</v>
      </c>
      <c r="E4" t="s">
        <v>31</v>
      </c>
      <c r="F4">
        <v>2</v>
      </c>
      <c r="G4">
        <v>1</v>
      </c>
      <c r="H4" t="s">
        <v>116</v>
      </c>
      <c r="I4" t="s">
        <v>33</v>
      </c>
      <c r="J4" t="s">
        <v>34</v>
      </c>
      <c r="K4" s="1">
        <v>7.5399999999999995E-2</v>
      </c>
      <c r="L4" t="s">
        <v>30</v>
      </c>
      <c r="M4">
        <v>22</v>
      </c>
      <c r="N4" t="s">
        <v>42</v>
      </c>
      <c r="O4" t="s">
        <v>111</v>
      </c>
      <c r="P4">
        <v>0</v>
      </c>
      <c r="Q4">
        <v>100</v>
      </c>
      <c r="R4" t="s">
        <v>36</v>
      </c>
      <c r="S4">
        <v>12</v>
      </c>
      <c r="T4">
        <v>12</v>
      </c>
      <c r="U4" t="s">
        <v>112</v>
      </c>
      <c r="V4" t="s">
        <v>37</v>
      </c>
      <c r="W4">
        <v>450</v>
      </c>
      <c r="X4">
        <v>60</v>
      </c>
      <c r="Y4" t="s">
        <v>38</v>
      </c>
      <c r="Z4">
        <v>20</v>
      </c>
      <c r="AA4" t="s">
        <v>39</v>
      </c>
      <c r="AB4">
        <v>20</v>
      </c>
      <c r="AC4" t="s">
        <v>40</v>
      </c>
    </row>
    <row r="5" spans="1:29" x14ac:dyDescent="0.25">
      <c r="A5" t="s">
        <v>117</v>
      </c>
      <c r="B5" t="s">
        <v>29</v>
      </c>
      <c r="C5" t="s">
        <v>30</v>
      </c>
      <c r="D5" t="s">
        <v>30</v>
      </c>
      <c r="E5" t="s">
        <v>31</v>
      </c>
      <c r="F5">
        <v>2</v>
      </c>
      <c r="G5">
        <v>1</v>
      </c>
      <c r="H5" t="s">
        <v>118</v>
      </c>
      <c r="I5" t="s">
        <v>33</v>
      </c>
      <c r="J5" t="s">
        <v>34</v>
      </c>
      <c r="K5" s="1">
        <v>7.5600000000000001E-2</v>
      </c>
      <c r="L5" t="s">
        <v>30</v>
      </c>
      <c r="M5">
        <v>22</v>
      </c>
      <c r="N5" t="s">
        <v>82</v>
      </c>
      <c r="O5" t="s">
        <v>111</v>
      </c>
      <c r="P5">
        <v>0</v>
      </c>
      <c r="Q5">
        <v>100</v>
      </c>
      <c r="R5" t="s">
        <v>36</v>
      </c>
      <c r="S5">
        <v>12</v>
      </c>
      <c r="T5">
        <v>12</v>
      </c>
      <c r="U5" t="s">
        <v>112</v>
      </c>
      <c r="V5" t="s">
        <v>37</v>
      </c>
      <c r="W5">
        <v>450</v>
      </c>
      <c r="X5">
        <v>60</v>
      </c>
      <c r="Y5" t="s">
        <v>38</v>
      </c>
      <c r="Z5">
        <v>20</v>
      </c>
      <c r="AA5" t="s">
        <v>39</v>
      </c>
      <c r="AB5">
        <v>20</v>
      </c>
      <c r="AC5" t="s">
        <v>40</v>
      </c>
    </row>
    <row r="6" spans="1:29" x14ac:dyDescent="0.25">
      <c r="A6" t="s">
        <v>119</v>
      </c>
      <c r="B6" t="s">
        <v>29</v>
      </c>
      <c r="C6" t="s">
        <v>30</v>
      </c>
      <c r="D6" t="s">
        <v>30</v>
      </c>
      <c r="E6" t="s">
        <v>31</v>
      </c>
      <c r="F6">
        <v>2</v>
      </c>
      <c r="G6">
        <v>1</v>
      </c>
      <c r="H6" t="s">
        <v>120</v>
      </c>
      <c r="I6" t="s">
        <v>33</v>
      </c>
      <c r="J6" t="s">
        <v>34</v>
      </c>
      <c r="K6" s="1">
        <v>7.1499999999999994E-2</v>
      </c>
      <c r="L6" t="s">
        <v>30</v>
      </c>
      <c r="M6">
        <v>22</v>
      </c>
      <c r="N6" t="s">
        <v>44</v>
      </c>
      <c r="O6" t="s">
        <v>111</v>
      </c>
      <c r="P6">
        <v>0</v>
      </c>
      <c r="Q6">
        <v>100</v>
      </c>
      <c r="R6" t="s">
        <v>36</v>
      </c>
      <c r="S6">
        <v>12</v>
      </c>
      <c r="T6">
        <v>12</v>
      </c>
      <c r="U6" t="s">
        <v>112</v>
      </c>
      <c r="V6" t="s">
        <v>37</v>
      </c>
      <c r="W6">
        <v>450</v>
      </c>
      <c r="X6">
        <v>60</v>
      </c>
      <c r="Y6" t="s">
        <v>38</v>
      </c>
      <c r="Z6">
        <v>20</v>
      </c>
      <c r="AA6" t="s">
        <v>39</v>
      </c>
      <c r="AB6">
        <v>20</v>
      </c>
      <c r="AC6" t="s">
        <v>40</v>
      </c>
    </row>
    <row r="7" spans="1:29" x14ac:dyDescent="0.25">
      <c r="A7" t="s">
        <v>121</v>
      </c>
      <c r="B7" t="s">
        <v>29</v>
      </c>
      <c r="C7" t="s">
        <v>30</v>
      </c>
      <c r="D7" t="s">
        <v>30</v>
      </c>
      <c r="E7" t="s">
        <v>31</v>
      </c>
      <c r="F7">
        <v>2</v>
      </c>
      <c r="G7">
        <v>1</v>
      </c>
      <c r="H7" t="s">
        <v>122</v>
      </c>
      <c r="I7" t="s">
        <v>33</v>
      </c>
      <c r="J7" t="s">
        <v>34</v>
      </c>
      <c r="K7" s="1">
        <v>6.7599999999999993E-2</v>
      </c>
      <c r="L7" t="s">
        <v>30</v>
      </c>
      <c r="M7">
        <v>22</v>
      </c>
      <c r="N7" t="s">
        <v>84</v>
      </c>
      <c r="O7" t="s">
        <v>111</v>
      </c>
      <c r="P7">
        <v>0</v>
      </c>
      <c r="Q7">
        <v>100</v>
      </c>
      <c r="R7" t="s">
        <v>36</v>
      </c>
      <c r="S7">
        <v>12</v>
      </c>
      <c r="T7">
        <v>12</v>
      </c>
      <c r="U7" t="s">
        <v>112</v>
      </c>
      <c r="V7" t="s">
        <v>37</v>
      </c>
      <c r="W7">
        <v>450</v>
      </c>
      <c r="X7">
        <v>60</v>
      </c>
      <c r="Y7" t="s">
        <v>38</v>
      </c>
      <c r="Z7">
        <v>20</v>
      </c>
      <c r="AA7" t="s">
        <v>39</v>
      </c>
      <c r="AB7">
        <v>20</v>
      </c>
      <c r="AC7" t="s">
        <v>40</v>
      </c>
    </row>
    <row r="8" spans="1:29" x14ac:dyDescent="0.25">
      <c r="A8" t="s">
        <v>123</v>
      </c>
      <c r="B8" t="s">
        <v>29</v>
      </c>
      <c r="C8" t="s">
        <v>30</v>
      </c>
      <c r="D8" t="s">
        <v>30</v>
      </c>
      <c r="E8" t="s">
        <v>31</v>
      </c>
      <c r="F8">
        <v>2</v>
      </c>
      <c r="G8">
        <v>1</v>
      </c>
      <c r="H8" t="s">
        <v>124</v>
      </c>
      <c r="I8" t="s">
        <v>33</v>
      </c>
      <c r="J8" t="s">
        <v>34</v>
      </c>
      <c r="K8" s="1">
        <v>7.1199999999999999E-2</v>
      </c>
      <c r="L8" t="s">
        <v>30</v>
      </c>
      <c r="M8">
        <v>22</v>
      </c>
      <c r="N8" t="s">
        <v>46</v>
      </c>
      <c r="O8" t="s">
        <v>111</v>
      </c>
      <c r="P8">
        <v>0</v>
      </c>
      <c r="Q8">
        <v>100</v>
      </c>
      <c r="R8" t="s">
        <v>36</v>
      </c>
      <c r="S8">
        <v>12</v>
      </c>
      <c r="T8">
        <v>12</v>
      </c>
      <c r="U8" t="s">
        <v>112</v>
      </c>
      <c r="V8" t="s">
        <v>37</v>
      </c>
      <c r="W8">
        <v>450</v>
      </c>
      <c r="X8">
        <v>60</v>
      </c>
      <c r="Y8" t="s">
        <v>38</v>
      </c>
      <c r="Z8">
        <v>20</v>
      </c>
      <c r="AA8" t="s">
        <v>39</v>
      </c>
      <c r="AB8">
        <v>20</v>
      </c>
      <c r="AC8" t="s">
        <v>40</v>
      </c>
    </row>
    <row r="9" spans="1:29" x14ac:dyDescent="0.25">
      <c r="A9" t="s">
        <v>125</v>
      </c>
      <c r="B9" t="s">
        <v>29</v>
      </c>
      <c r="C9" t="s">
        <v>30</v>
      </c>
      <c r="D9" t="s">
        <v>30</v>
      </c>
      <c r="E9" t="s">
        <v>31</v>
      </c>
      <c r="F9">
        <v>2</v>
      </c>
      <c r="G9">
        <v>1</v>
      </c>
      <c r="H9" t="s">
        <v>126</v>
      </c>
      <c r="I9" t="s">
        <v>33</v>
      </c>
      <c r="J9" t="s">
        <v>34</v>
      </c>
      <c r="K9" s="1">
        <v>6.8099999999999994E-2</v>
      </c>
      <c r="L9" t="s">
        <v>30</v>
      </c>
      <c r="M9">
        <v>22</v>
      </c>
      <c r="N9" t="s">
        <v>86</v>
      </c>
      <c r="O9" t="s">
        <v>111</v>
      </c>
      <c r="P9">
        <v>0</v>
      </c>
      <c r="Q9">
        <v>100</v>
      </c>
      <c r="R9" t="s">
        <v>36</v>
      </c>
      <c r="S9">
        <v>12</v>
      </c>
      <c r="T9">
        <v>12</v>
      </c>
      <c r="U9" t="s">
        <v>112</v>
      </c>
      <c r="V9" t="s">
        <v>37</v>
      </c>
      <c r="W9">
        <v>450</v>
      </c>
      <c r="X9">
        <v>60</v>
      </c>
      <c r="Y9" t="s">
        <v>38</v>
      </c>
      <c r="Z9">
        <v>20</v>
      </c>
      <c r="AA9" t="s">
        <v>39</v>
      </c>
      <c r="AB9">
        <v>20</v>
      </c>
      <c r="AC9" t="s">
        <v>40</v>
      </c>
    </row>
    <row r="10" spans="1:29" x14ac:dyDescent="0.25">
      <c r="A10" t="s">
        <v>127</v>
      </c>
      <c r="B10" t="s">
        <v>29</v>
      </c>
      <c r="C10" t="s">
        <v>30</v>
      </c>
      <c r="D10" t="s">
        <v>30</v>
      </c>
      <c r="E10" t="s">
        <v>31</v>
      </c>
      <c r="F10">
        <v>2</v>
      </c>
      <c r="G10">
        <v>1</v>
      </c>
      <c r="H10" t="s">
        <v>128</v>
      </c>
      <c r="I10" t="s">
        <v>33</v>
      </c>
      <c r="J10" t="s">
        <v>34</v>
      </c>
      <c r="K10" s="1">
        <v>6.8000000000000005E-2</v>
      </c>
      <c r="L10" t="s">
        <v>30</v>
      </c>
      <c r="M10">
        <v>22</v>
      </c>
      <c r="N10" t="s">
        <v>35</v>
      </c>
      <c r="O10" t="s">
        <v>111</v>
      </c>
      <c r="P10">
        <v>0</v>
      </c>
      <c r="Q10">
        <v>100</v>
      </c>
      <c r="R10" t="s">
        <v>36</v>
      </c>
      <c r="S10">
        <v>12</v>
      </c>
      <c r="T10">
        <v>12</v>
      </c>
      <c r="U10" t="s">
        <v>112</v>
      </c>
      <c r="V10" t="s">
        <v>37</v>
      </c>
      <c r="W10">
        <v>450</v>
      </c>
      <c r="X10">
        <v>60</v>
      </c>
      <c r="Y10" t="s">
        <v>38</v>
      </c>
      <c r="Z10">
        <v>20</v>
      </c>
      <c r="AA10" t="s">
        <v>39</v>
      </c>
      <c r="AB10">
        <v>20</v>
      </c>
      <c r="AC10" t="s">
        <v>40</v>
      </c>
    </row>
    <row r="11" spans="1:29" x14ac:dyDescent="0.25">
      <c r="A11" t="s">
        <v>129</v>
      </c>
      <c r="B11" t="s">
        <v>29</v>
      </c>
      <c r="C11" t="s">
        <v>30</v>
      </c>
      <c r="D11" t="s">
        <v>30</v>
      </c>
      <c r="E11" t="s">
        <v>31</v>
      </c>
      <c r="F11">
        <v>2</v>
      </c>
      <c r="G11">
        <v>1</v>
      </c>
      <c r="H11" t="s">
        <v>32</v>
      </c>
      <c r="I11" t="s">
        <v>33</v>
      </c>
      <c r="J11" t="s">
        <v>34</v>
      </c>
      <c r="K11" s="1">
        <v>7.85E-2</v>
      </c>
      <c r="L11" t="s">
        <v>30</v>
      </c>
      <c r="M11">
        <v>22</v>
      </c>
      <c r="N11" t="s">
        <v>80</v>
      </c>
      <c r="O11" t="s">
        <v>111</v>
      </c>
      <c r="P11">
        <v>0</v>
      </c>
      <c r="Q11">
        <v>100</v>
      </c>
      <c r="R11" t="s">
        <v>36</v>
      </c>
      <c r="S11">
        <v>12</v>
      </c>
      <c r="T11">
        <v>12</v>
      </c>
      <c r="U11" t="s">
        <v>112</v>
      </c>
      <c r="V11" t="s">
        <v>37</v>
      </c>
      <c r="W11">
        <v>450</v>
      </c>
      <c r="X11">
        <v>60</v>
      </c>
      <c r="Y11" t="s">
        <v>38</v>
      </c>
      <c r="Z11">
        <v>20</v>
      </c>
      <c r="AA11" t="s">
        <v>39</v>
      </c>
      <c r="AB11">
        <v>20</v>
      </c>
      <c r="AC11" t="s">
        <v>40</v>
      </c>
    </row>
    <row r="12" spans="1:29" x14ac:dyDescent="0.25">
      <c r="A12" t="s">
        <v>130</v>
      </c>
      <c r="B12" t="s">
        <v>29</v>
      </c>
      <c r="C12" t="s">
        <v>30</v>
      </c>
      <c r="D12" t="s">
        <v>30</v>
      </c>
      <c r="E12" t="s">
        <v>31</v>
      </c>
      <c r="F12">
        <v>2</v>
      </c>
      <c r="G12">
        <v>1</v>
      </c>
      <c r="H12" t="s">
        <v>41</v>
      </c>
      <c r="I12" t="s">
        <v>33</v>
      </c>
      <c r="J12" t="s">
        <v>34</v>
      </c>
      <c r="K12" s="1">
        <v>8.2799999999999999E-2</v>
      </c>
      <c r="L12" t="s">
        <v>30</v>
      </c>
      <c r="M12">
        <v>22</v>
      </c>
      <c r="N12" t="s">
        <v>42</v>
      </c>
      <c r="O12" t="s">
        <v>111</v>
      </c>
      <c r="P12">
        <v>0</v>
      </c>
      <c r="Q12">
        <v>100</v>
      </c>
      <c r="R12" t="s">
        <v>36</v>
      </c>
      <c r="S12">
        <v>12</v>
      </c>
      <c r="T12">
        <v>12</v>
      </c>
      <c r="U12" t="s">
        <v>112</v>
      </c>
      <c r="V12" t="s">
        <v>37</v>
      </c>
      <c r="W12">
        <v>450</v>
      </c>
      <c r="X12">
        <v>60</v>
      </c>
      <c r="Y12" t="s">
        <v>38</v>
      </c>
      <c r="Z12">
        <v>20</v>
      </c>
      <c r="AA12" t="s">
        <v>39</v>
      </c>
      <c r="AB12">
        <v>20</v>
      </c>
      <c r="AC12" t="s">
        <v>40</v>
      </c>
    </row>
    <row r="13" spans="1:29" x14ac:dyDescent="0.25">
      <c r="A13" t="s">
        <v>131</v>
      </c>
      <c r="B13" t="s">
        <v>29</v>
      </c>
      <c r="C13" t="s">
        <v>30</v>
      </c>
      <c r="D13" t="s">
        <v>30</v>
      </c>
      <c r="E13" t="s">
        <v>31</v>
      </c>
      <c r="F13">
        <v>2</v>
      </c>
      <c r="G13">
        <v>1</v>
      </c>
      <c r="H13" t="s">
        <v>43</v>
      </c>
      <c r="I13" t="s">
        <v>33</v>
      </c>
      <c r="J13" t="s">
        <v>34</v>
      </c>
      <c r="K13" s="1">
        <v>7.51E-2</v>
      </c>
      <c r="L13" t="s">
        <v>30</v>
      </c>
      <c r="M13">
        <v>22</v>
      </c>
      <c r="N13" t="s">
        <v>82</v>
      </c>
      <c r="O13" t="s">
        <v>111</v>
      </c>
      <c r="P13">
        <v>0</v>
      </c>
      <c r="Q13">
        <v>100</v>
      </c>
      <c r="R13" t="s">
        <v>36</v>
      </c>
      <c r="S13">
        <v>12</v>
      </c>
      <c r="T13">
        <v>12</v>
      </c>
      <c r="U13" t="s">
        <v>112</v>
      </c>
      <c r="V13" t="s">
        <v>37</v>
      </c>
      <c r="W13">
        <v>450</v>
      </c>
      <c r="X13">
        <v>60</v>
      </c>
      <c r="Y13" t="s">
        <v>38</v>
      </c>
      <c r="Z13">
        <v>20</v>
      </c>
      <c r="AA13" t="s">
        <v>39</v>
      </c>
      <c r="AB13">
        <v>20</v>
      </c>
      <c r="AC13" t="s">
        <v>40</v>
      </c>
    </row>
    <row r="14" spans="1:29" x14ac:dyDescent="0.25">
      <c r="A14" t="s">
        <v>132</v>
      </c>
      <c r="B14" t="s">
        <v>29</v>
      </c>
      <c r="C14" t="s">
        <v>30</v>
      </c>
      <c r="D14" t="s">
        <v>30</v>
      </c>
      <c r="E14" t="s">
        <v>31</v>
      </c>
      <c r="F14">
        <v>2</v>
      </c>
      <c r="G14">
        <v>1</v>
      </c>
      <c r="H14" t="s">
        <v>45</v>
      </c>
      <c r="I14" t="s">
        <v>33</v>
      </c>
      <c r="J14" t="s">
        <v>34</v>
      </c>
      <c r="K14" s="1">
        <v>7.2700000000000001E-2</v>
      </c>
      <c r="L14" t="s">
        <v>30</v>
      </c>
      <c r="M14">
        <v>22</v>
      </c>
      <c r="N14" t="s">
        <v>44</v>
      </c>
      <c r="O14" t="s">
        <v>111</v>
      </c>
      <c r="P14">
        <v>0</v>
      </c>
      <c r="Q14">
        <v>100</v>
      </c>
      <c r="R14" t="s">
        <v>36</v>
      </c>
      <c r="S14">
        <v>12</v>
      </c>
      <c r="T14">
        <v>12</v>
      </c>
      <c r="U14" t="s">
        <v>112</v>
      </c>
      <c r="V14" t="s">
        <v>37</v>
      </c>
      <c r="W14">
        <v>450</v>
      </c>
      <c r="X14">
        <v>60</v>
      </c>
      <c r="Y14" t="s">
        <v>38</v>
      </c>
      <c r="Z14">
        <v>20</v>
      </c>
      <c r="AA14" t="s">
        <v>39</v>
      </c>
      <c r="AB14">
        <v>20</v>
      </c>
      <c r="AC14" t="s">
        <v>40</v>
      </c>
    </row>
    <row r="15" spans="1:29" x14ac:dyDescent="0.25">
      <c r="A15" t="s">
        <v>133</v>
      </c>
      <c r="B15" t="s">
        <v>29</v>
      </c>
      <c r="C15" t="s">
        <v>30</v>
      </c>
      <c r="D15" t="s">
        <v>30</v>
      </c>
      <c r="E15" t="s">
        <v>31</v>
      </c>
      <c r="F15">
        <v>2</v>
      </c>
      <c r="G15">
        <v>1</v>
      </c>
      <c r="H15" t="s">
        <v>47</v>
      </c>
      <c r="I15" t="s">
        <v>33</v>
      </c>
      <c r="J15" t="s">
        <v>34</v>
      </c>
      <c r="K15" s="1">
        <v>6.9599999999999995E-2</v>
      </c>
      <c r="L15" t="s">
        <v>30</v>
      </c>
      <c r="M15">
        <v>22</v>
      </c>
      <c r="N15" t="s">
        <v>84</v>
      </c>
      <c r="O15" t="s">
        <v>111</v>
      </c>
      <c r="P15">
        <v>0</v>
      </c>
      <c r="Q15">
        <v>100</v>
      </c>
      <c r="R15" t="s">
        <v>36</v>
      </c>
      <c r="S15">
        <v>12</v>
      </c>
      <c r="T15">
        <v>12</v>
      </c>
      <c r="U15" t="s">
        <v>112</v>
      </c>
      <c r="V15" t="s">
        <v>37</v>
      </c>
      <c r="W15">
        <v>450</v>
      </c>
      <c r="X15">
        <v>60</v>
      </c>
      <c r="Y15" t="s">
        <v>38</v>
      </c>
      <c r="Z15">
        <v>20</v>
      </c>
      <c r="AA15" t="s">
        <v>39</v>
      </c>
      <c r="AB15">
        <v>20</v>
      </c>
      <c r="AC15" t="s">
        <v>40</v>
      </c>
    </row>
    <row r="16" spans="1:29" x14ac:dyDescent="0.25">
      <c r="A16" t="s">
        <v>134</v>
      </c>
      <c r="B16" t="s">
        <v>29</v>
      </c>
      <c r="C16" t="s">
        <v>30</v>
      </c>
      <c r="D16" t="s">
        <v>30</v>
      </c>
      <c r="E16" t="s">
        <v>31</v>
      </c>
      <c r="F16">
        <v>2</v>
      </c>
      <c r="G16">
        <v>1</v>
      </c>
      <c r="H16" t="s">
        <v>49</v>
      </c>
      <c r="I16" t="s">
        <v>33</v>
      </c>
      <c r="J16" t="s">
        <v>34</v>
      </c>
      <c r="K16" s="1">
        <v>7.22E-2</v>
      </c>
      <c r="L16" t="s">
        <v>30</v>
      </c>
      <c r="M16">
        <v>22</v>
      </c>
      <c r="N16" t="s">
        <v>46</v>
      </c>
      <c r="O16" t="s">
        <v>111</v>
      </c>
      <c r="P16">
        <v>0</v>
      </c>
      <c r="Q16">
        <v>100</v>
      </c>
      <c r="R16" t="s">
        <v>36</v>
      </c>
      <c r="S16">
        <v>12</v>
      </c>
      <c r="T16">
        <v>12</v>
      </c>
      <c r="U16" t="s">
        <v>112</v>
      </c>
      <c r="V16" t="s">
        <v>37</v>
      </c>
      <c r="W16">
        <v>450</v>
      </c>
      <c r="X16">
        <v>60</v>
      </c>
      <c r="Y16" t="s">
        <v>38</v>
      </c>
      <c r="Z16">
        <v>20</v>
      </c>
      <c r="AA16" t="s">
        <v>39</v>
      </c>
      <c r="AB16">
        <v>20</v>
      </c>
      <c r="AC16" t="s">
        <v>40</v>
      </c>
    </row>
    <row r="17" spans="1:29" x14ac:dyDescent="0.25">
      <c r="A17" t="s">
        <v>135</v>
      </c>
      <c r="B17" t="s">
        <v>29</v>
      </c>
      <c r="C17" t="s">
        <v>30</v>
      </c>
      <c r="D17" t="s">
        <v>30</v>
      </c>
      <c r="E17" t="s">
        <v>31</v>
      </c>
      <c r="F17">
        <v>2</v>
      </c>
      <c r="G17">
        <v>1</v>
      </c>
      <c r="H17" t="s">
        <v>51</v>
      </c>
      <c r="I17" t="s">
        <v>33</v>
      </c>
      <c r="J17" t="s">
        <v>34</v>
      </c>
      <c r="K17" s="1">
        <v>8.3099999999999993E-2</v>
      </c>
      <c r="L17" t="s">
        <v>30</v>
      </c>
      <c r="M17">
        <v>22</v>
      </c>
      <c r="N17" t="s">
        <v>86</v>
      </c>
      <c r="O17" t="s">
        <v>111</v>
      </c>
      <c r="P17">
        <v>0</v>
      </c>
      <c r="Q17">
        <v>100</v>
      </c>
      <c r="R17" t="s">
        <v>36</v>
      </c>
      <c r="S17">
        <v>12</v>
      </c>
      <c r="T17">
        <v>12</v>
      </c>
      <c r="U17" t="s">
        <v>112</v>
      </c>
      <c r="V17" t="s">
        <v>37</v>
      </c>
      <c r="W17">
        <v>450</v>
      </c>
      <c r="X17">
        <v>60</v>
      </c>
      <c r="Y17" t="s">
        <v>38</v>
      </c>
      <c r="Z17">
        <v>20</v>
      </c>
      <c r="AA17" t="s">
        <v>39</v>
      </c>
      <c r="AB17">
        <v>20</v>
      </c>
      <c r="AC17" t="s">
        <v>40</v>
      </c>
    </row>
    <row r="18" spans="1:29" x14ac:dyDescent="0.25">
      <c r="A18" t="s">
        <v>136</v>
      </c>
      <c r="B18" t="s">
        <v>29</v>
      </c>
      <c r="C18" t="s">
        <v>30</v>
      </c>
      <c r="D18" t="s">
        <v>30</v>
      </c>
      <c r="E18" t="s">
        <v>31</v>
      </c>
      <c r="F18">
        <v>2</v>
      </c>
      <c r="G18">
        <v>1</v>
      </c>
      <c r="H18" t="s">
        <v>137</v>
      </c>
      <c r="I18" t="s">
        <v>33</v>
      </c>
      <c r="J18" t="s">
        <v>34</v>
      </c>
      <c r="K18" s="1">
        <v>8.3699999999999997E-2</v>
      </c>
      <c r="L18" t="s">
        <v>30</v>
      </c>
      <c r="M18">
        <v>22</v>
      </c>
      <c r="N18" t="s">
        <v>35</v>
      </c>
      <c r="O18" t="s">
        <v>111</v>
      </c>
      <c r="P18">
        <v>0</v>
      </c>
      <c r="Q18">
        <v>100</v>
      </c>
      <c r="R18" t="s">
        <v>36</v>
      </c>
      <c r="S18">
        <v>12</v>
      </c>
      <c r="T18">
        <v>12</v>
      </c>
      <c r="U18" t="s">
        <v>112</v>
      </c>
      <c r="V18" t="s">
        <v>37</v>
      </c>
      <c r="W18">
        <v>450</v>
      </c>
      <c r="X18">
        <v>60</v>
      </c>
      <c r="Y18" t="s">
        <v>38</v>
      </c>
      <c r="Z18">
        <v>20</v>
      </c>
      <c r="AA18" t="s">
        <v>39</v>
      </c>
      <c r="AB18">
        <v>20</v>
      </c>
      <c r="AC18" t="s">
        <v>40</v>
      </c>
    </row>
    <row r="19" spans="1:29" x14ac:dyDescent="0.25">
      <c r="A19" t="s">
        <v>138</v>
      </c>
      <c r="B19" t="s">
        <v>29</v>
      </c>
      <c r="C19" t="s">
        <v>30</v>
      </c>
      <c r="D19" t="s">
        <v>30</v>
      </c>
      <c r="E19" t="s">
        <v>31</v>
      </c>
      <c r="F19">
        <v>2</v>
      </c>
      <c r="G19">
        <v>1</v>
      </c>
      <c r="H19" t="s">
        <v>59</v>
      </c>
      <c r="I19" t="s">
        <v>33</v>
      </c>
      <c r="J19" t="s">
        <v>34</v>
      </c>
      <c r="K19" s="1">
        <v>0.10009999999999999</v>
      </c>
      <c r="L19" t="s">
        <v>30</v>
      </c>
      <c r="M19">
        <v>22</v>
      </c>
      <c r="N19" t="s">
        <v>80</v>
      </c>
      <c r="O19" t="s">
        <v>111</v>
      </c>
      <c r="P19">
        <v>0</v>
      </c>
      <c r="Q19">
        <v>100</v>
      </c>
      <c r="R19" t="s">
        <v>36</v>
      </c>
      <c r="S19">
        <v>12</v>
      </c>
      <c r="T19">
        <v>12</v>
      </c>
      <c r="U19" t="s">
        <v>112</v>
      </c>
      <c r="V19" t="s">
        <v>37</v>
      </c>
      <c r="W19">
        <v>450</v>
      </c>
      <c r="X19">
        <v>60</v>
      </c>
      <c r="Y19" t="s">
        <v>38</v>
      </c>
      <c r="Z19">
        <v>20</v>
      </c>
      <c r="AA19" t="s">
        <v>39</v>
      </c>
      <c r="AB19">
        <v>20</v>
      </c>
      <c r="AC19" t="s">
        <v>40</v>
      </c>
    </row>
    <row r="20" spans="1:29" x14ac:dyDescent="0.25">
      <c r="A20" t="s">
        <v>139</v>
      </c>
      <c r="B20" t="s">
        <v>29</v>
      </c>
      <c r="C20" t="s">
        <v>30</v>
      </c>
      <c r="D20" t="s">
        <v>30</v>
      </c>
      <c r="E20" t="s">
        <v>31</v>
      </c>
      <c r="F20">
        <v>2</v>
      </c>
      <c r="G20">
        <v>1</v>
      </c>
      <c r="H20" t="s">
        <v>60</v>
      </c>
      <c r="I20" t="s">
        <v>33</v>
      </c>
      <c r="J20" t="s">
        <v>34</v>
      </c>
      <c r="K20" s="1">
        <v>7.9699999999999993E-2</v>
      </c>
      <c r="L20" t="s">
        <v>30</v>
      </c>
      <c r="M20">
        <v>22</v>
      </c>
      <c r="N20" t="s">
        <v>42</v>
      </c>
      <c r="O20" t="s">
        <v>111</v>
      </c>
      <c r="P20">
        <v>0</v>
      </c>
      <c r="Q20">
        <v>100</v>
      </c>
      <c r="R20" t="s">
        <v>36</v>
      </c>
      <c r="S20">
        <v>12</v>
      </c>
      <c r="T20">
        <v>12</v>
      </c>
      <c r="U20" t="s">
        <v>112</v>
      </c>
      <c r="V20" t="s">
        <v>37</v>
      </c>
      <c r="W20">
        <v>450</v>
      </c>
      <c r="X20">
        <v>60</v>
      </c>
      <c r="Y20" t="s">
        <v>38</v>
      </c>
      <c r="Z20">
        <v>20</v>
      </c>
      <c r="AA20" t="s">
        <v>39</v>
      </c>
      <c r="AB20">
        <v>20</v>
      </c>
      <c r="AC20" t="s">
        <v>40</v>
      </c>
    </row>
    <row r="21" spans="1:29" x14ac:dyDescent="0.25">
      <c r="A21" t="s">
        <v>140</v>
      </c>
      <c r="B21" t="s">
        <v>29</v>
      </c>
      <c r="C21" t="s">
        <v>30</v>
      </c>
      <c r="D21" t="s">
        <v>30</v>
      </c>
      <c r="E21" t="s">
        <v>31</v>
      </c>
      <c r="F21">
        <v>2</v>
      </c>
      <c r="G21">
        <v>1</v>
      </c>
      <c r="H21" t="s">
        <v>61</v>
      </c>
      <c r="I21" t="s">
        <v>33</v>
      </c>
      <c r="J21" t="s">
        <v>34</v>
      </c>
      <c r="K21" s="1">
        <v>7.5600000000000001E-2</v>
      </c>
      <c r="L21" t="s">
        <v>30</v>
      </c>
      <c r="M21">
        <v>22</v>
      </c>
      <c r="N21" t="s">
        <v>82</v>
      </c>
      <c r="O21" t="s">
        <v>111</v>
      </c>
      <c r="P21">
        <v>0</v>
      </c>
      <c r="Q21">
        <v>100</v>
      </c>
      <c r="R21" t="s">
        <v>36</v>
      </c>
      <c r="S21">
        <v>12</v>
      </c>
      <c r="T21">
        <v>12</v>
      </c>
      <c r="U21" t="s">
        <v>112</v>
      </c>
      <c r="V21" t="s">
        <v>37</v>
      </c>
      <c r="W21">
        <v>450</v>
      </c>
      <c r="X21">
        <v>60</v>
      </c>
      <c r="Y21" t="s">
        <v>38</v>
      </c>
      <c r="Z21">
        <v>20</v>
      </c>
      <c r="AA21" t="s">
        <v>39</v>
      </c>
      <c r="AB21">
        <v>20</v>
      </c>
      <c r="AC21" t="s">
        <v>40</v>
      </c>
    </row>
    <row r="22" spans="1:29" x14ac:dyDescent="0.25">
      <c r="A22" t="s">
        <v>141</v>
      </c>
      <c r="B22" t="s">
        <v>29</v>
      </c>
      <c r="C22" t="s">
        <v>30</v>
      </c>
      <c r="D22" t="s">
        <v>30</v>
      </c>
      <c r="E22" t="s">
        <v>31</v>
      </c>
      <c r="F22">
        <v>2</v>
      </c>
      <c r="G22">
        <v>1</v>
      </c>
      <c r="H22" t="s">
        <v>62</v>
      </c>
      <c r="I22" t="s">
        <v>33</v>
      </c>
      <c r="J22" t="s">
        <v>34</v>
      </c>
      <c r="K22" s="1">
        <v>7.6899999999999996E-2</v>
      </c>
      <c r="L22" t="s">
        <v>30</v>
      </c>
      <c r="M22">
        <v>22</v>
      </c>
      <c r="N22" t="s">
        <v>44</v>
      </c>
      <c r="O22" t="s">
        <v>111</v>
      </c>
      <c r="P22">
        <v>0</v>
      </c>
      <c r="Q22">
        <v>100</v>
      </c>
      <c r="R22" t="s">
        <v>36</v>
      </c>
      <c r="S22">
        <v>12</v>
      </c>
      <c r="T22">
        <v>12</v>
      </c>
      <c r="U22" t="s">
        <v>112</v>
      </c>
      <c r="V22" t="s">
        <v>37</v>
      </c>
      <c r="W22">
        <v>450</v>
      </c>
      <c r="X22">
        <v>60</v>
      </c>
      <c r="Y22" t="s">
        <v>38</v>
      </c>
      <c r="Z22">
        <v>20</v>
      </c>
      <c r="AA22" t="s">
        <v>39</v>
      </c>
      <c r="AB22">
        <v>20</v>
      </c>
      <c r="AC22" t="s">
        <v>40</v>
      </c>
    </row>
    <row r="23" spans="1:29" x14ac:dyDescent="0.25">
      <c r="A23" t="s">
        <v>142</v>
      </c>
      <c r="B23" t="s">
        <v>29</v>
      </c>
      <c r="C23" t="s">
        <v>30</v>
      </c>
      <c r="D23" t="s">
        <v>30</v>
      </c>
      <c r="E23" t="s">
        <v>31</v>
      </c>
      <c r="F23">
        <v>2</v>
      </c>
      <c r="G23">
        <v>1</v>
      </c>
      <c r="H23" t="s">
        <v>63</v>
      </c>
      <c r="I23" t="s">
        <v>33</v>
      </c>
      <c r="J23" t="s">
        <v>34</v>
      </c>
      <c r="K23" s="1">
        <v>7.0900000000000005E-2</v>
      </c>
      <c r="L23" t="s">
        <v>30</v>
      </c>
      <c r="M23">
        <v>22</v>
      </c>
      <c r="N23" t="s">
        <v>84</v>
      </c>
      <c r="O23" t="s">
        <v>111</v>
      </c>
      <c r="P23">
        <v>0</v>
      </c>
      <c r="Q23">
        <v>100</v>
      </c>
      <c r="R23" t="s">
        <v>36</v>
      </c>
      <c r="S23">
        <v>12</v>
      </c>
      <c r="T23">
        <v>12</v>
      </c>
      <c r="U23" t="s">
        <v>112</v>
      </c>
      <c r="V23" t="s">
        <v>37</v>
      </c>
      <c r="W23">
        <v>450</v>
      </c>
      <c r="X23">
        <v>60</v>
      </c>
      <c r="Y23" t="s">
        <v>38</v>
      </c>
      <c r="Z23">
        <v>20</v>
      </c>
      <c r="AA23" t="s">
        <v>39</v>
      </c>
      <c r="AB23">
        <v>20</v>
      </c>
      <c r="AC23" t="s">
        <v>40</v>
      </c>
    </row>
    <row r="24" spans="1:29" x14ac:dyDescent="0.25">
      <c r="A24" t="s">
        <v>143</v>
      </c>
      <c r="B24" t="s">
        <v>29</v>
      </c>
      <c r="C24" t="s">
        <v>30</v>
      </c>
      <c r="D24" t="s">
        <v>30</v>
      </c>
      <c r="E24" t="s">
        <v>31</v>
      </c>
      <c r="F24">
        <v>2</v>
      </c>
      <c r="G24">
        <v>1</v>
      </c>
      <c r="H24" t="s">
        <v>64</v>
      </c>
      <c r="I24" t="s">
        <v>33</v>
      </c>
      <c r="J24" t="s">
        <v>34</v>
      </c>
      <c r="K24" s="1">
        <v>7.6799999999999993E-2</v>
      </c>
      <c r="L24" t="s">
        <v>30</v>
      </c>
      <c r="M24">
        <v>22</v>
      </c>
      <c r="N24" t="s">
        <v>46</v>
      </c>
      <c r="O24" t="s">
        <v>111</v>
      </c>
      <c r="P24">
        <v>0</v>
      </c>
      <c r="Q24">
        <v>100</v>
      </c>
      <c r="R24" t="s">
        <v>36</v>
      </c>
      <c r="S24">
        <v>12</v>
      </c>
      <c r="T24">
        <v>12</v>
      </c>
      <c r="U24" t="s">
        <v>112</v>
      </c>
      <c r="V24" t="s">
        <v>37</v>
      </c>
      <c r="W24">
        <v>450</v>
      </c>
      <c r="X24">
        <v>60</v>
      </c>
      <c r="Y24" t="s">
        <v>38</v>
      </c>
      <c r="Z24">
        <v>20</v>
      </c>
      <c r="AA24" t="s">
        <v>39</v>
      </c>
      <c r="AB24">
        <v>20</v>
      </c>
      <c r="AC24" t="s">
        <v>40</v>
      </c>
    </row>
    <row r="25" spans="1:29" x14ac:dyDescent="0.25">
      <c r="A25" t="s">
        <v>144</v>
      </c>
      <c r="B25" t="s">
        <v>29</v>
      </c>
      <c r="C25" t="s">
        <v>30</v>
      </c>
      <c r="D25" t="s">
        <v>30</v>
      </c>
      <c r="E25" t="s">
        <v>31</v>
      </c>
      <c r="F25">
        <v>2</v>
      </c>
      <c r="G25">
        <v>1</v>
      </c>
      <c r="H25" t="s">
        <v>65</v>
      </c>
      <c r="I25" t="s">
        <v>33</v>
      </c>
      <c r="J25" t="s">
        <v>34</v>
      </c>
      <c r="K25" s="1">
        <v>7.85E-2</v>
      </c>
      <c r="L25" t="s">
        <v>30</v>
      </c>
      <c r="M25">
        <v>22</v>
      </c>
      <c r="N25" t="s">
        <v>86</v>
      </c>
      <c r="O25" t="s">
        <v>111</v>
      </c>
      <c r="P25">
        <v>0</v>
      </c>
      <c r="Q25">
        <v>100</v>
      </c>
      <c r="R25" t="s">
        <v>36</v>
      </c>
      <c r="S25">
        <v>12</v>
      </c>
      <c r="T25">
        <v>12</v>
      </c>
      <c r="U25" t="s">
        <v>112</v>
      </c>
      <c r="V25" t="s">
        <v>37</v>
      </c>
      <c r="W25">
        <v>450</v>
      </c>
      <c r="X25">
        <v>60</v>
      </c>
      <c r="Y25" t="s">
        <v>38</v>
      </c>
      <c r="Z25">
        <v>20</v>
      </c>
      <c r="AA25" t="s">
        <v>39</v>
      </c>
      <c r="AB25">
        <v>20</v>
      </c>
      <c r="AC25" t="s">
        <v>40</v>
      </c>
    </row>
    <row r="26" spans="1:29" x14ac:dyDescent="0.25">
      <c r="A26" t="s">
        <v>145</v>
      </c>
      <c r="B26" t="s">
        <v>29</v>
      </c>
      <c r="C26" t="s">
        <v>30</v>
      </c>
      <c r="D26" t="s">
        <v>30</v>
      </c>
      <c r="E26" t="s">
        <v>31</v>
      </c>
      <c r="F26">
        <v>2</v>
      </c>
      <c r="G26">
        <v>1</v>
      </c>
      <c r="H26" t="s">
        <v>146</v>
      </c>
      <c r="I26" t="s">
        <v>33</v>
      </c>
      <c r="J26" t="s">
        <v>34</v>
      </c>
      <c r="K26" s="1">
        <v>7.2099999999999997E-2</v>
      </c>
      <c r="L26" t="s">
        <v>30</v>
      </c>
      <c r="M26">
        <v>22</v>
      </c>
      <c r="N26" t="s">
        <v>35</v>
      </c>
      <c r="O26" t="s">
        <v>111</v>
      </c>
      <c r="P26">
        <v>0</v>
      </c>
      <c r="Q26">
        <v>100</v>
      </c>
      <c r="R26" t="s">
        <v>36</v>
      </c>
      <c r="S26">
        <v>12</v>
      </c>
      <c r="T26">
        <v>12</v>
      </c>
      <c r="U26" t="s">
        <v>112</v>
      </c>
      <c r="V26" t="s">
        <v>37</v>
      </c>
      <c r="W26">
        <v>450</v>
      </c>
      <c r="X26">
        <v>60</v>
      </c>
      <c r="Y26" t="s">
        <v>38</v>
      </c>
      <c r="Z26">
        <v>20</v>
      </c>
      <c r="AA26" t="s">
        <v>39</v>
      </c>
      <c r="AB26">
        <v>20</v>
      </c>
      <c r="AC26" t="s">
        <v>40</v>
      </c>
    </row>
    <row r="27" spans="1:29" x14ac:dyDescent="0.25">
      <c r="A27" t="s">
        <v>147</v>
      </c>
      <c r="B27" t="s">
        <v>29</v>
      </c>
      <c r="C27" t="s">
        <v>30</v>
      </c>
      <c r="D27" t="s">
        <v>30</v>
      </c>
      <c r="E27" t="s">
        <v>31</v>
      </c>
      <c r="F27">
        <v>2</v>
      </c>
      <c r="G27">
        <v>1</v>
      </c>
      <c r="H27" t="s">
        <v>69</v>
      </c>
      <c r="I27" t="s">
        <v>33</v>
      </c>
      <c r="J27" t="s">
        <v>34</v>
      </c>
      <c r="K27" s="1">
        <v>7.0499999999999993E-2</v>
      </c>
      <c r="L27" t="s">
        <v>30</v>
      </c>
      <c r="M27">
        <v>22</v>
      </c>
      <c r="N27" t="s">
        <v>80</v>
      </c>
      <c r="O27" t="s">
        <v>111</v>
      </c>
      <c r="P27">
        <v>0</v>
      </c>
      <c r="Q27">
        <v>100</v>
      </c>
      <c r="R27" t="s">
        <v>36</v>
      </c>
      <c r="S27">
        <v>12</v>
      </c>
      <c r="T27">
        <v>12</v>
      </c>
      <c r="U27" t="s">
        <v>112</v>
      </c>
      <c r="V27" t="s">
        <v>37</v>
      </c>
      <c r="W27">
        <v>450</v>
      </c>
      <c r="X27">
        <v>60</v>
      </c>
      <c r="Y27" t="s">
        <v>38</v>
      </c>
      <c r="Z27">
        <v>20</v>
      </c>
      <c r="AA27" t="s">
        <v>39</v>
      </c>
      <c r="AB27">
        <v>20</v>
      </c>
      <c r="AC27" t="s">
        <v>40</v>
      </c>
    </row>
    <row r="28" spans="1:29" x14ac:dyDescent="0.25">
      <c r="A28" t="s">
        <v>148</v>
      </c>
      <c r="B28" t="s">
        <v>29</v>
      </c>
      <c r="C28" t="s">
        <v>30</v>
      </c>
      <c r="D28" t="s">
        <v>30</v>
      </c>
      <c r="E28" t="s">
        <v>31</v>
      </c>
      <c r="F28">
        <v>2</v>
      </c>
      <c r="G28">
        <v>1</v>
      </c>
      <c r="H28" t="s">
        <v>70</v>
      </c>
      <c r="I28" t="s">
        <v>33</v>
      </c>
      <c r="J28" t="s">
        <v>34</v>
      </c>
      <c r="K28" s="1">
        <v>7.0900000000000005E-2</v>
      </c>
      <c r="L28" t="s">
        <v>30</v>
      </c>
      <c r="M28">
        <v>22</v>
      </c>
      <c r="N28" t="s">
        <v>42</v>
      </c>
      <c r="O28" t="s">
        <v>111</v>
      </c>
      <c r="P28">
        <v>0</v>
      </c>
      <c r="Q28">
        <v>100</v>
      </c>
      <c r="R28" t="s">
        <v>36</v>
      </c>
      <c r="S28">
        <v>12</v>
      </c>
      <c r="T28">
        <v>12</v>
      </c>
      <c r="U28" t="s">
        <v>112</v>
      </c>
      <c r="V28" t="s">
        <v>37</v>
      </c>
      <c r="W28">
        <v>450</v>
      </c>
      <c r="X28">
        <v>60</v>
      </c>
      <c r="Y28" t="s">
        <v>38</v>
      </c>
      <c r="Z28">
        <v>20</v>
      </c>
      <c r="AA28" t="s">
        <v>39</v>
      </c>
      <c r="AB28">
        <v>20</v>
      </c>
      <c r="AC28" t="s">
        <v>40</v>
      </c>
    </row>
    <row r="29" spans="1:29" x14ac:dyDescent="0.25">
      <c r="A29" t="s">
        <v>149</v>
      </c>
      <c r="B29" t="s">
        <v>29</v>
      </c>
      <c r="C29" t="s">
        <v>30</v>
      </c>
      <c r="D29" t="s">
        <v>30</v>
      </c>
      <c r="E29" t="s">
        <v>31</v>
      </c>
      <c r="F29">
        <v>2</v>
      </c>
      <c r="G29">
        <v>1</v>
      </c>
      <c r="H29" t="s">
        <v>71</v>
      </c>
      <c r="I29" t="s">
        <v>33</v>
      </c>
      <c r="J29" t="s">
        <v>34</v>
      </c>
      <c r="K29" s="1">
        <v>7.4800000000000005E-2</v>
      </c>
      <c r="L29" t="s">
        <v>30</v>
      </c>
      <c r="M29">
        <v>22</v>
      </c>
      <c r="N29" t="s">
        <v>82</v>
      </c>
      <c r="O29" t="s">
        <v>111</v>
      </c>
      <c r="P29">
        <v>0</v>
      </c>
      <c r="Q29">
        <v>100</v>
      </c>
      <c r="R29" t="s">
        <v>36</v>
      </c>
      <c r="S29">
        <v>12</v>
      </c>
      <c r="T29">
        <v>12</v>
      </c>
      <c r="U29" t="s">
        <v>112</v>
      </c>
      <c r="V29" t="s">
        <v>37</v>
      </c>
      <c r="W29">
        <v>450</v>
      </c>
      <c r="X29">
        <v>60</v>
      </c>
      <c r="Y29" t="s">
        <v>38</v>
      </c>
      <c r="Z29">
        <v>20</v>
      </c>
      <c r="AA29" t="s">
        <v>39</v>
      </c>
      <c r="AB29">
        <v>20</v>
      </c>
      <c r="AC29" t="s">
        <v>40</v>
      </c>
    </row>
    <row r="30" spans="1:29" x14ac:dyDescent="0.25">
      <c r="A30" t="s">
        <v>150</v>
      </c>
      <c r="B30" t="s">
        <v>29</v>
      </c>
      <c r="C30" t="s">
        <v>30</v>
      </c>
      <c r="D30" t="s">
        <v>30</v>
      </c>
      <c r="E30" t="s">
        <v>31</v>
      </c>
      <c r="F30">
        <v>2</v>
      </c>
      <c r="G30">
        <v>1</v>
      </c>
      <c r="H30" t="s">
        <v>72</v>
      </c>
      <c r="I30" t="s">
        <v>33</v>
      </c>
      <c r="J30" t="s">
        <v>34</v>
      </c>
      <c r="K30" s="1">
        <v>7.7299999999999994E-2</v>
      </c>
      <c r="L30" t="s">
        <v>30</v>
      </c>
      <c r="M30">
        <v>22</v>
      </c>
      <c r="N30" t="s">
        <v>44</v>
      </c>
      <c r="O30" t="s">
        <v>111</v>
      </c>
      <c r="P30">
        <v>0</v>
      </c>
      <c r="Q30">
        <v>100</v>
      </c>
      <c r="R30" t="s">
        <v>36</v>
      </c>
      <c r="S30">
        <v>12</v>
      </c>
      <c r="T30">
        <v>12</v>
      </c>
      <c r="U30" t="s">
        <v>112</v>
      </c>
      <c r="V30" t="s">
        <v>37</v>
      </c>
      <c r="W30">
        <v>450</v>
      </c>
      <c r="X30">
        <v>60</v>
      </c>
      <c r="Y30" t="s">
        <v>38</v>
      </c>
      <c r="Z30">
        <v>20</v>
      </c>
      <c r="AA30" t="s">
        <v>39</v>
      </c>
      <c r="AB30">
        <v>20</v>
      </c>
      <c r="AC30" t="s">
        <v>40</v>
      </c>
    </row>
    <row r="31" spans="1:29" x14ac:dyDescent="0.25">
      <c r="A31" t="s">
        <v>151</v>
      </c>
      <c r="B31" t="s">
        <v>29</v>
      </c>
      <c r="C31" t="s">
        <v>30</v>
      </c>
      <c r="D31" t="s">
        <v>30</v>
      </c>
      <c r="E31" t="s">
        <v>31</v>
      </c>
      <c r="F31">
        <v>2</v>
      </c>
      <c r="G31">
        <v>1</v>
      </c>
      <c r="H31" t="s">
        <v>73</v>
      </c>
      <c r="I31" t="s">
        <v>33</v>
      </c>
      <c r="J31" t="s">
        <v>34</v>
      </c>
      <c r="K31" s="1">
        <v>7.2300000000000003E-2</v>
      </c>
      <c r="L31" t="s">
        <v>30</v>
      </c>
      <c r="M31">
        <v>22</v>
      </c>
      <c r="N31" t="s">
        <v>84</v>
      </c>
      <c r="O31" t="s">
        <v>111</v>
      </c>
      <c r="P31">
        <v>0</v>
      </c>
      <c r="Q31">
        <v>100</v>
      </c>
      <c r="R31" t="s">
        <v>36</v>
      </c>
      <c r="S31">
        <v>12</v>
      </c>
      <c r="T31">
        <v>12</v>
      </c>
      <c r="U31" t="s">
        <v>112</v>
      </c>
      <c r="V31" t="s">
        <v>37</v>
      </c>
      <c r="W31">
        <v>450</v>
      </c>
      <c r="X31">
        <v>60</v>
      </c>
      <c r="Y31" t="s">
        <v>38</v>
      </c>
      <c r="Z31">
        <v>20</v>
      </c>
      <c r="AA31" t="s">
        <v>39</v>
      </c>
      <c r="AB31">
        <v>20</v>
      </c>
      <c r="AC31" t="s">
        <v>40</v>
      </c>
    </row>
    <row r="32" spans="1:29" x14ac:dyDescent="0.25">
      <c r="A32" t="s">
        <v>152</v>
      </c>
      <c r="B32" t="s">
        <v>29</v>
      </c>
      <c r="C32" t="s">
        <v>30</v>
      </c>
      <c r="D32" t="s">
        <v>30</v>
      </c>
      <c r="E32" t="s">
        <v>31</v>
      </c>
      <c r="F32">
        <v>2</v>
      </c>
      <c r="G32">
        <v>1</v>
      </c>
      <c r="H32" t="s">
        <v>74</v>
      </c>
      <c r="I32" t="s">
        <v>33</v>
      </c>
      <c r="J32" t="s">
        <v>34</v>
      </c>
      <c r="K32" s="1">
        <v>7.3400000000000007E-2</v>
      </c>
      <c r="L32" t="s">
        <v>30</v>
      </c>
      <c r="M32">
        <v>22</v>
      </c>
      <c r="N32" t="s">
        <v>46</v>
      </c>
      <c r="O32" t="s">
        <v>111</v>
      </c>
      <c r="P32">
        <v>0</v>
      </c>
      <c r="Q32">
        <v>100</v>
      </c>
      <c r="R32" t="s">
        <v>36</v>
      </c>
      <c r="S32">
        <v>12</v>
      </c>
      <c r="T32">
        <v>12</v>
      </c>
      <c r="U32" t="s">
        <v>112</v>
      </c>
      <c r="V32" t="s">
        <v>37</v>
      </c>
      <c r="W32">
        <v>450</v>
      </c>
      <c r="X32">
        <v>60</v>
      </c>
      <c r="Y32" t="s">
        <v>38</v>
      </c>
      <c r="Z32">
        <v>20</v>
      </c>
      <c r="AA32" t="s">
        <v>39</v>
      </c>
      <c r="AB32">
        <v>20</v>
      </c>
      <c r="AC32" t="s">
        <v>40</v>
      </c>
    </row>
    <row r="33" spans="1:29" x14ac:dyDescent="0.25">
      <c r="A33" t="s">
        <v>153</v>
      </c>
      <c r="B33" t="s">
        <v>29</v>
      </c>
      <c r="C33" t="s">
        <v>30</v>
      </c>
      <c r="D33" t="s">
        <v>30</v>
      </c>
      <c r="E33" t="s">
        <v>31</v>
      </c>
      <c r="F33">
        <v>2</v>
      </c>
      <c r="G33">
        <v>1</v>
      </c>
      <c r="H33" t="s">
        <v>75</v>
      </c>
      <c r="I33" t="s">
        <v>33</v>
      </c>
      <c r="J33" t="s">
        <v>34</v>
      </c>
      <c r="K33" s="1">
        <v>7.4399999999999994E-2</v>
      </c>
      <c r="L33" t="s">
        <v>30</v>
      </c>
      <c r="M33">
        <v>22</v>
      </c>
      <c r="N33" t="s">
        <v>86</v>
      </c>
      <c r="O33" t="s">
        <v>111</v>
      </c>
      <c r="P33">
        <v>0</v>
      </c>
      <c r="Q33">
        <v>100</v>
      </c>
      <c r="R33" t="s">
        <v>36</v>
      </c>
      <c r="S33">
        <v>12</v>
      </c>
      <c r="T33">
        <v>12</v>
      </c>
      <c r="U33" t="s">
        <v>112</v>
      </c>
      <c r="V33" t="s">
        <v>37</v>
      </c>
      <c r="W33">
        <v>450</v>
      </c>
      <c r="X33">
        <v>60</v>
      </c>
      <c r="Y33" t="s">
        <v>38</v>
      </c>
      <c r="Z33">
        <v>20</v>
      </c>
      <c r="AA33" t="s">
        <v>39</v>
      </c>
      <c r="AB33">
        <v>20</v>
      </c>
      <c r="AC33" t="s">
        <v>40</v>
      </c>
    </row>
    <row r="34" spans="1:29" x14ac:dyDescent="0.25">
      <c r="A34" t="s">
        <v>154</v>
      </c>
      <c r="B34" t="s">
        <v>29</v>
      </c>
      <c r="C34" t="s">
        <v>30</v>
      </c>
      <c r="D34" t="s">
        <v>30</v>
      </c>
      <c r="E34" t="s">
        <v>31</v>
      </c>
      <c r="F34">
        <v>2</v>
      </c>
      <c r="G34">
        <v>1</v>
      </c>
      <c r="H34" t="s">
        <v>155</v>
      </c>
      <c r="I34" t="s">
        <v>33</v>
      </c>
      <c r="J34" t="s">
        <v>34</v>
      </c>
      <c r="K34" s="1">
        <v>8.7499999999999994E-2</v>
      </c>
      <c r="L34" t="s">
        <v>30</v>
      </c>
      <c r="M34">
        <v>22</v>
      </c>
      <c r="N34" t="s">
        <v>35</v>
      </c>
      <c r="O34" t="s">
        <v>111</v>
      </c>
      <c r="P34">
        <v>0</v>
      </c>
      <c r="Q34">
        <v>100</v>
      </c>
      <c r="R34" t="s">
        <v>36</v>
      </c>
      <c r="S34">
        <v>12</v>
      </c>
      <c r="T34">
        <v>12</v>
      </c>
      <c r="U34" t="s">
        <v>112</v>
      </c>
      <c r="V34" t="s">
        <v>37</v>
      </c>
      <c r="W34">
        <v>450</v>
      </c>
      <c r="X34">
        <v>60</v>
      </c>
      <c r="Y34" t="s">
        <v>38</v>
      </c>
      <c r="Z34">
        <v>20</v>
      </c>
      <c r="AA34" t="s">
        <v>39</v>
      </c>
      <c r="AB34">
        <v>20</v>
      </c>
      <c r="AC34" t="s">
        <v>40</v>
      </c>
    </row>
    <row r="35" spans="1:29" x14ac:dyDescent="0.25">
      <c r="A35" t="s">
        <v>156</v>
      </c>
      <c r="B35" t="s">
        <v>29</v>
      </c>
      <c r="C35" t="s">
        <v>30</v>
      </c>
      <c r="D35" t="s">
        <v>30</v>
      </c>
      <c r="E35" t="s">
        <v>31</v>
      </c>
      <c r="F35">
        <v>2</v>
      </c>
      <c r="G35">
        <v>1</v>
      </c>
      <c r="H35" t="s">
        <v>79</v>
      </c>
      <c r="I35" t="s">
        <v>33</v>
      </c>
      <c r="J35" t="s">
        <v>34</v>
      </c>
      <c r="K35" s="1">
        <v>0.13780000000000001</v>
      </c>
      <c r="L35" t="s">
        <v>30</v>
      </c>
      <c r="M35">
        <v>22</v>
      </c>
      <c r="N35" t="s">
        <v>80</v>
      </c>
      <c r="O35" t="s">
        <v>111</v>
      </c>
      <c r="P35">
        <v>0</v>
      </c>
      <c r="Q35">
        <v>100</v>
      </c>
      <c r="R35" t="s">
        <v>36</v>
      </c>
      <c r="S35">
        <v>12</v>
      </c>
      <c r="T35">
        <v>12</v>
      </c>
      <c r="U35" t="s">
        <v>112</v>
      </c>
      <c r="V35" t="s">
        <v>37</v>
      </c>
      <c r="W35">
        <v>450</v>
      </c>
      <c r="X35">
        <v>60</v>
      </c>
      <c r="Y35" t="s">
        <v>38</v>
      </c>
      <c r="Z35">
        <v>20</v>
      </c>
      <c r="AA35" t="s">
        <v>39</v>
      </c>
      <c r="AB35">
        <v>20</v>
      </c>
      <c r="AC35" t="s">
        <v>40</v>
      </c>
    </row>
    <row r="36" spans="1:29" x14ac:dyDescent="0.25">
      <c r="A36" t="s">
        <v>157</v>
      </c>
      <c r="B36" t="s">
        <v>29</v>
      </c>
      <c r="C36" t="s">
        <v>30</v>
      </c>
      <c r="D36" t="s">
        <v>30</v>
      </c>
      <c r="E36" t="s">
        <v>31</v>
      </c>
      <c r="F36">
        <v>2</v>
      </c>
      <c r="G36">
        <v>1</v>
      </c>
      <c r="H36" t="s">
        <v>81</v>
      </c>
      <c r="I36" t="s">
        <v>33</v>
      </c>
      <c r="J36" t="s">
        <v>34</v>
      </c>
      <c r="K36" s="1">
        <v>7.9899999999999999E-2</v>
      </c>
      <c r="L36" t="s">
        <v>30</v>
      </c>
      <c r="M36">
        <v>22</v>
      </c>
      <c r="N36" t="s">
        <v>42</v>
      </c>
      <c r="O36" t="s">
        <v>111</v>
      </c>
      <c r="P36">
        <v>0</v>
      </c>
      <c r="Q36">
        <v>100</v>
      </c>
      <c r="R36" t="s">
        <v>36</v>
      </c>
      <c r="S36">
        <v>12</v>
      </c>
      <c r="T36">
        <v>12</v>
      </c>
      <c r="U36" t="s">
        <v>112</v>
      </c>
      <c r="V36" t="s">
        <v>37</v>
      </c>
      <c r="W36">
        <v>450</v>
      </c>
      <c r="X36">
        <v>60</v>
      </c>
      <c r="Y36" t="s">
        <v>38</v>
      </c>
      <c r="Z36">
        <v>20</v>
      </c>
      <c r="AA36" t="s">
        <v>39</v>
      </c>
      <c r="AB36">
        <v>20</v>
      </c>
      <c r="AC36" t="s">
        <v>40</v>
      </c>
    </row>
    <row r="37" spans="1:29" x14ac:dyDescent="0.25">
      <c r="A37" t="s">
        <v>158</v>
      </c>
      <c r="B37" t="s">
        <v>29</v>
      </c>
      <c r="C37" t="s">
        <v>30</v>
      </c>
      <c r="D37" t="s">
        <v>30</v>
      </c>
      <c r="E37" t="s">
        <v>31</v>
      </c>
      <c r="F37">
        <v>2</v>
      </c>
      <c r="G37">
        <v>1</v>
      </c>
      <c r="H37" t="s">
        <v>83</v>
      </c>
      <c r="I37" t="s">
        <v>33</v>
      </c>
      <c r="J37" t="s">
        <v>34</v>
      </c>
      <c r="K37" s="1">
        <v>9.4299999999999995E-2</v>
      </c>
      <c r="L37" t="s">
        <v>30</v>
      </c>
      <c r="M37">
        <v>22</v>
      </c>
      <c r="N37" t="s">
        <v>82</v>
      </c>
      <c r="O37" t="s">
        <v>111</v>
      </c>
      <c r="P37">
        <v>0</v>
      </c>
      <c r="Q37">
        <v>100</v>
      </c>
      <c r="R37" t="s">
        <v>36</v>
      </c>
      <c r="S37">
        <v>12</v>
      </c>
      <c r="T37">
        <v>12</v>
      </c>
      <c r="U37" t="s">
        <v>112</v>
      </c>
      <c r="V37" t="s">
        <v>37</v>
      </c>
      <c r="W37">
        <v>450</v>
      </c>
      <c r="X37">
        <v>60</v>
      </c>
      <c r="Y37" t="s">
        <v>38</v>
      </c>
      <c r="Z37">
        <v>20</v>
      </c>
      <c r="AA37" t="s">
        <v>39</v>
      </c>
      <c r="AB37">
        <v>20</v>
      </c>
      <c r="AC37" t="s">
        <v>40</v>
      </c>
    </row>
    <row r="38" spans="1:29" x14ac:dyDescent="0.25">
      <c r="A38" t="s">
        <v>159</v>
      </c>
      <c r="B38" t="s">
        <v>29</v>
      </c>
      <c r="C38" t="s">
        <v>30</v>
      </c>
      <c r="D38" t="s">
        <v>30</v>
      </c>
      <c r="E38" t="s">
        <v>31</v>
      </c>
      <c r="F38">
        <v>2</v>
      </c>
      <c r="G38">
        <v>1</v>
      </c>
      <c r="H38" t="s">
        <v>85</v>
      </c>
      <c r="I38" t="s">
        <v>33</v>
      </c>
      <c r="J38" t="s">
        <v>34</v>
      </c>
      <c r="K38" s="1">
        <v>9.1399999999999995E-2</v>
      </c>
      <c r="L38" t="s">
        <v>30</v>
      </c>
      <c r="M38">
        <v>22</v>
      </c>
      <c r="N38" t="s">
        <v>44</v>
      </c>
      <c r="O38" t="s">
        <v>111</v>
      </c>
      <c r="P38">
        <v>0</v>
      </c>
      <c r="Q38">
        <v>100</v>
      </c>
      <c r="R38" t="s">
        <v>36</v>
      </c>
      <c r="S38">
        <v>12</v>
      </c>
      <c r="T38">
        <v>12</v>
      </c>
      <c r="U38" t="s">
        <v>112</v>
      </c>
      <c r="V38" t="s">
        <v>37</v>
      </c>
      <c r="W38">
        <v>450</v>
      </c>
      <c r="X38">
        <v>60</v>
      </c>
      <c r="Y38" t="s">
        <v>38</v>
      </c>
      <c r="Z38">
        <v>20</v>
      </c>
      <c r="AA38" t="s">
        <v>39</v>
      </c>
      <c r="AB38">
        <v>20</v>
      </c>
      <c r="AC38" t="s">
        <v>40</v>
      </c>
    </row>
    <row r="39" spans="1:29" x14ac:dyDescent="0.25">
      <c r="A39" t="s">
        <v>160</v>
      </c>
      <c r="B39" t="s">
        <v>29</v>
      </c>
      <c r="C39" t="s">
        <v>30</v>
      </c>
      <c r="D39" t="s">
        <v>30</v>
      </c>
      <c r="E39" t="s">
        <v>31</v>
      </c>
      <c r="F39">
        <v>2</v>
      </c>
      <c r="G39">
        <v>1</v>
      </c>
      <c r="H39" t="s">
        <v>87</v>
      </c>
      <c r="I39" t="s">
        <v>33</v>
      </c>
      <c r="J39" t="s">
        <v>34</v>
      </c>
      <c r="K39" s="1">
        <v>7.5300000000000006E-2</v>
      </c>
      <c r="L39" t="s">
        <v>30</v>
      </c>
      <c r="M39">
        <v>22</v>
      </c>
      <c r="N39" t="s">
        <v>84</v>
      </c>
      <c r="O39" t="s">
        <v>111</v>
      </c>
      <c r="P39">
        <v>0</v>
      </c>
      <c r="Q39">
        <v>100</v>
      </c>
      <c r="R39" t="s">
        <v>36</v>
      </c>
      <c r="S39">
        <v>12</v>
      </c>
      <c r="T39">
        <v>12</v>
      </c>
      <c r="U39" t="s">
        <v>112</v>
      </c>
      <c r="V39" t="s">
        <v>37</v>
      </c>
      <c r="W39">
        <v>450</v>
      </c>
      <c r="X39">
        <v>60</v>
      </c>
      <c r="Y39" t="s">
        <v>38</v>
      </c>
      <c r="Z39">
        <v>20</v>
      </c>
      <c r="AA39" t="s">
        <v>39</v>
      </c>
      <c r="AB39">
        <v>20</v>
      </c>
      <c r="AC39" t="s">
        <v>40</v>
      </c>
    </row>
    <row r="40" spans="1:29" x14ac:dyDescent="0.25">
      <c r="A40" t="s">
        <v>161</v>
      </c>
      <c r="B40" t="s">
        <v>29</v>
      </c>
      <c r="C40" t="s">
        <v>30</v>
      </c>
      <c r="D40" t="s">
        <v>30</v>
      </c>
      <c r="E40" t="s">
        <v>31</v>
      </c>
      <c r="F40">
        <v>2</v>
      </c>
      <c r="G40">
        <v>1</v>
      </c>
      <c r="H40" t="s">
        <v>89</v>
      </c>
      <c r="I40" t="s">
        <v>33</v>
      </c>
      <c r="J40" t="s">
        <v>34</v>
      </c>
      <c r="K40" s="1">
        <v>6.9199999999999998E-2</v>
      </c>
      <c r="L40" t="s">
        <v>30</v>
      </c>
      <c r="M40">
        <v>22</v>
      </c>
      <c r="N40" t="s">
        <v>46</v>
      </c>
      <c r="O40" t="s">
        <v>111</v>
      </c>
      <c r="P40">
        <v>0</v>
      </c>
      <c r="Q40">
        <v>100</v>
      </c>
      <c r="R40" t="s">
        <v>36</v>
      </c>
      <c r="S40">
        <v>12</v>
      </c>
      <c r="T40">
        <v>12</v>
      </c>
      <c r="U40" t="s">
        <v>112</v>
      </c>
      <c r="V40" t="s">
        <v>37</v>
      </c>
      <c r="W40">
        <v>450</v>
      </c>
      <c r="X40">
        <v>60</v>
      </c>
      <c r="Y40" t="s">
        <v>38</v>
      </c>
      <c r="Z40">
        <v>20</v>
      </c>
      <c r="AA40" t="s">
        <v>39</v>
      </c>
      <c r="AB40">
        <v>20</v>
      </c>
      <c r="AC40" t="s">
        <v>40</v>
      </c>
    </row>
    <row r="41" spans="1:29" x14ac:dyDescent="0.25">
      <c r="A41" t="s">
        <v>162</v>
      </c>
      <c r="B41" t="s">
        <v>29</v>
      </c>
      <c r="C41" t="s">
        <v>30</v>
      </c>
      <c r="D41" t="s">
        <v>30</v>
      </c>
      <c r="E41" t="s">
        <v>31</v>
      </c>
      <c r="F41">
        <v>2</v>
      </c>
      <c r="G41">
        <v>1</v>
      </c>
      <c r="H41" t="s">
        <v>91</v>
      </c>
      <c r="I41" t="s">
        <v>33</v>
      </c>
      <c r="J41" t="s">
        <v>34</v>
      </c>
      <c r="K41" s="1">
        <v>7.6999999999999999E-2</v>
      </c>
      <c r="L41" t="s">
        <v>30</v>
      </c>
      <c r="M41">
        <v>22</v>
      </c>
      <c r="N41" t="s">
        <v>86</v>
      </c>
      <c r="O41" t="s">
        <v>111</v>
      </c>
      <c r="P41">
        <v>0</v>
      </c>
      <c r="Q41">
        <v>100</v>
      </c>
      <c r="R41" t="s">
        <v>36</v>
      </c>
      <c r="S41">
        <v>12</v>
      </c>
      <c r="T41">
        <v>12</v>
      </c>
      <c r="U41" t="s">
        <v>112</v>
      </c>
      <c r="V41" t="s">
        <v>37</v>
      </c>
      <c r="W41">
        <v>450</v>
      </c>
      <c r="X41">
        <v>60</v>
      </c>
      <c r="Y41" t="s">
        <v>38</v>
      </c>
      <c r="Z41">
        <v>20</v>
      </c>
      <c r="AA41" t="s">
        <v>39</v>
      </c>
      <c r="AB41">
        <v>20</v>
      </c>
      <c r="AC41" t="s">
        <v>40</v>
      </c>
    </row>
    <row r="42" spans="1:29" x14ac:dyDescent="0.25">
      <c r="A42" t="s">
        <v>163</v>
      </c>
      <c r="B42" t="s">
        <v>29</v>
      </c>
      <c r="C42" t="s">
        <v>30</v>
      </c>
      <c r="D42" t="s">
        <v>30</v>
      </c>
      <c r="E42" t="s">
        <v>31</v>
      </c>
      <c r="F42">
        <v>2</v>
      </c>
      <c r="G42">
        <v>1</v>
      </c>
      <c r="H42" t="s">
        <v>164</v>
      </c>
      <c r="I42" t="s">
        <v>33</v>
      </c>
      <c r="J42" t="s">
        <v>34</v>
      </c>
      <c r="K42" s="1">
        <v>7.5300000000000006E-2</v>
      </c>
      <c r="L42" t="s">
        <v>30</v>
      </c>
      <c r="M42">
        <v>22</v>
      </c>
      <c r="N42" t="s">
        <v>35</v>
      </c>
      <c r="O42" t="s">
        <v>111</v>
      </c>
      <c r="P42">
        <v>0</v>
      </c>
      <c r="Q42">
        <v>100</v>
      </c>
      <c r="R42" t="s">
        <v>36</v>
      </c>
      <c r="S42">
        <v>12</v>
      </c>
      <c r="T42">
        <v>12</v>
      </c>
      <c r="U42" t="s">
        <v>112</v>
      </c>
      <c r="V42" t="s">
        <v>37</v>
      </c>
      <c r="W42">
        <v>450</v>
      </c>
      <c r="X42">
        <v>60</v>
      </c>
      <c r="Y42" t="s">
        <v>38</v>
      </c>
      <c r="Z42">
        <v>20</v>
      </c>
      <c r="AA42" t="s">
        <v>39</v>
      </c>
      <c r="AB42">
        <v>20</v>
      </c>
      <c r="AC42" t="s">
        <v>40</v>
      </c>
    </row>
    <row r="43" spans="1:29" x14ac:dyDescent="0.25">
      <c r="A43" t="s">
        <v>165</v>
      </c>
      <c r="B43" t="s">
        <v>29</v>
      </c>
      <c r="C43" t="s">
        <v>30</v>
      </c>
      <c r="D43" t="s">
        <v>30</v>
      </c>
      <c r="E43" t="s">
        <v>31</v>
      </c>
      <c r="F43">
        <v>2</v>
      </c>
      <c r="G43">
        <v>1</v>
      </c>
      <c r="H43" t="s">
        <v>98</v>
      </c>
      <c r="I43" t="s">
        <v>33</v>
      </c>
      <c r="J43" t="s">
        <v>34</v>
      </c>
      <c r="K43" s="1">
        <v>8.3699999999999997E-2</v>
      </c>
      <c r="L43" t="s">
        <v>30</v>
      </c>
      <c r="M43">
        <v>22</v>
      </c>
      <c r="N43" t="s">
        <v>80</v>
      </c>
      <c r="O43" t="s">
        <v>111</v>
      </c>
      <c r="P43">
        <v>0</v>
      </c>
      <c r="Q43">
        <v>100</v>
      </c>
      <c r="R43" t="s">
        <v>36</v>
      </c>
      <c r="S43">
        <v>12</v>
      </c>
      <c r="T43">
        <v>12</v>
      </c>
      <c r="U43" t="s">
        <v>112</v>
      </c>
      <c r="V43" t="s">
        <v>37</v>
      </c>
      <c r="W43">
        <v>450</v>
      </c>
      <c r="X43">
        <v>60</v>
      </c>
      <c r="Y43" t="s">
        <v>38</v>
      </c>
      <c r="Z43">
        <v>20</v>
      </c>
      <c r="AA43" t="s">
        <v>39</v>
      </c>
      <c r="AB43">
        <v>20</v>
      </c>
      <c r="AC43" t="s">
        <v>40</v>
      </c>
    </row>
    <row r="44" spans="1:29" x14ac:dyDescent="0.25">
      <c r="A44" t="s">
        <v>166</v>
      </c>
      <c r="B44" t="s">
        <v>29</v>
      </c>
      <c r="C44" t="s">
        <v>30</v>
      </c>
      <c r="D44" t="s">
        <v>30</v>
      </c>
      <c r="E44" t="s">
        <v>31</v>
      </c>
      <c r="F44">
        <v>2</v>
      </c>
      <c r="G44">
        <v>1</v>
      </c>
      <c r="H44" t="s">
        <v>99</v>
      </c>
      <c r="I44" t="s">
        <v>33</v>
      </c>
      <c r="J44" t="s">
        <v>34</v>
      </c>
      <c r="K44" s="1">
        <v>0.10979999999999999</v>
      </c>
      <c r="L44" t="s">
        <v>30</v>
      </c>
      <c r="M44">
        <v>22</v>
      </c>
      <c r="N44" t="s">
        <v>42</v>
      </c>
      <c r="O44" t="s">
        <v>111</v>
      </c>
      <c r="P44">
        <v>0</v>
      </c>
      <c r="Q44">
        <v>100</v>
      </c>
      <c r="R44" t="s">
        <v>36</v>
      </c>
      <c r="S44">
        <v>12</v>
      </c>
      <c r="T44">
        <v>12</v>
      </c>
      <c r="U44" t="s">
        <v>112</v>
      </c>
      <c r="V44" t="s">
        <v>37</v>
      </c>
      <c r="W44">
        <v>450</v>
      </c>
      <c r="X44">
        <v>60</v>
      </c>
      <c r="Y44" t="s">
        <v>38</v>
      </c>
      <c r="Z44">
        <v>20</v>
      </c>
      <c r="AA44" t="s">
        <v>39</v>
      </c>
      <c r="AB44">
        <v>20</v>
      </c>
      <c r="AC44" t="s">
        <v>40</v>
      </c>
    </row>
    <row r="45" spans="1:29" x14ac:dyDescent="0.25">
      <c r="A45" t="s">
        <v>167</v>
      </c>
      <c r="B45" t="s">
        <v>29</v>
      </c>
      <c r="C45" t="s">
        <v>30</v>
      </c>
      <c r="D45" t="s">
        <v>30</v>
      </c>
      <c r="E45" t="s">
        <v>31</v>
      </c>
      <c r="F45">
        <v>2</v>
      </c>
      <c r="G45">
        <v>1</v>
      </c>
      <c r="H45" t="s">
        <v>100</v>
      </c>
      <c r="I45" t="s">
        <v>33</v>
      </c>
      <c r="J45" t="s">
        <v>34</v>
      </c>
      <c r="K45" s="1">
        <v>7.6499999999999999E-2</v>
      </c>
      <c r="L45" t="s">
        <v>30</v>
      </c>
      <c r="M45">
        <v>22</v>
      </c>
      <c r="N45" t="s">
        <v>82</v>
      </c>
      <c r="O45" t="s">
        <v>111</v>
      </c>
      <c r="P45">
        <v>0</v>
      </c>
      <c r="Q45">
        <v>100</v>
      </c>
      <c r="R45" t="s">
        <v>36</v>
      </c>
      <c r="S45">
        <v>12</v>
      </c>
      <c r="T45">
        <v>12</v>
      </c>
      <c r="U45" t="s">
        <v>112</v>
      </c>
      <c r="V45" t="s">
        <v>37</v>
      </c>
      <c r="W45">
        <v>450</v>
      </c>
      <c r="X45">
        <v>60</v>
      </c>
      <c r="Y45" t="s">
        <v>38</v>
      </c>
      <c r="Z45">
        <v>20</v>
      </c>
      <c r="AA45" t="s">
        <v>39</v>
      </c>
      <c r="AB45">
        <v>20</v>
      </c>
      <c r="AC45" t="s">
        <v>40</v>
      </c>
    </row>
    <row r="46" spans="1:29" x14ac:dyDescent="0.25">
      <c r="A46" t="s">
        <v>168</v>
      </c>
      <c r="B46" t="s">
        <v>29</v>
      </c>
      <c r="C46" t="s">
        <v>30</v>
      </c>
      <c r="D46" t="s">
        <v>30</v>
      </c>
      <c r="E46" t="s">
        <v>31</v>
      </c>
      <c r="F46">
        <v>2</v>
      </c>
      <c r="G46">
        <v>1</v>
      </c>
      <c r="H46" t="s">
        <v>101</v>
      </c>
      <c r="I46" t="s">
        <v>33</v>
      </c>
      <c r="J46" t="s">
        <v>34</v>
      </c>
      <c r="K46" s="1">
        <v>8.0100000000000005E-2</v>
      </c>
      <c r="L46" t="s">
        <v>30</v>
      </c>
      <c r="M46">
        <v>22</v>
      </c>
      <c r="N46" t="s">
        <v>44</v>
      </c>
      <c r="O46" t="s">
        <v>111</v>
      </c>
      <c r="P46">
        <v>0</v>
      </c>
      <c r="Q46">
        <v>100</v>
      </c>
      <c r="R46" t="s">
        <v>36</v>
      </c>
      <c r="S46">
        <v>12</v>
      </c>
      <c r="T46">
        <v>12</v>
      </c>
      <c r="U46" t="s">
        <v>112</v>
      </c>
      <c r="V46" t="s">
        <v>37</v>
      </c>
      <c r="W46">
        <v>450</v>
      </c>
      <c r="X46">
        <v>60</v>
      </c>
      <c r="Y46" t="s">
        <v>38</v>
      </c>
      <c r="Z46">
        <v>20</v>
      </c>
      <c r="AA46" t="s">
        <v>39</v>
      </c>
      <c r="AB46">
        <v>20</v>
      </c>
      <c r="AC46" t="s">
        <v>40</v>
      </c>
    </row>
    <row r="47" spans="1:29" x14ac:dyDescent="0.25">
      <c r="A47" t="s">
        <v>169</v>
      </c>
      <c r="B47" t="s">
        <v>29</v>
      </c>
      <c r="C47" t="s">
        <v>30</v>
      </c>
      <c r="D47" t="s">
        <v>30</v>
      </c>
      <c r="E47" t="s">
        <v>31</v>
      </c>
      <c r="F47">
        <v>2</v>
      </c>
      <c r="G47">
        <v>1</v>
      </c>
      <c r="H47" t="s">
        <v>102</v>
      </c>
      <c r="I47" t="s">
        <v>33</v>
      </c>
      <c r="J47" t="s">
        <v>34</v>
      </c>
      <c r="K47" s="1">
        <v>7.0199999999999999E-2</v>
      </c>
      <c r="L47" t="s">
        <v>30</v>
      </c>
      <c r="M47">
        <v>22</v>
      </c>
      <c r="N47" t="s">
        <v>84</v>
      </c>
      <c r="O47" t="s">
        <v>111</v>
      </c>
      <c r="P47">
        <v>0</v>
      </c>
      <c r="Q47">
        <v>100</v>
      </c>
      <c r="R47" t="s">
        <v>36</v>
      </c>
      <c r="S47">
        <v>12</v>
      </c>
      <c r="T47">
        <v>12</v>
      </c>
      <c r="U47" t="s">
        <v>112</v>
      </c>
      <c r="V47" t="s">
        <v>37</v>
      </c>
      <c r="W47">
        <v>450</v>
      </c>
      <c r="X47">
        <v>60</v>
      </c>
      <c r="Y47" t="s">
        <v>38</v>
      </c>
      <c r="Z47">
        <v>20</v>
      </c>
      <c r="AA47" t="s">
        <v>39</v>
      </c>
      <c r="AB47">
        <v>20</v>
      </c>
      <c r="AC47" t="s">
        <v>40</v>
      </c>
    </row>
    <row r="48" spans="1:29" x14ac:dyDescent="0.25">
      <c r="A48" t="s">
        <v>170</v>
      </c>
      <c r="B48" t="s">
        <v>29</v>
      </c>
      <c r="C48" t="s">
        <v>30</v>
      </c>
      <c r="D48" t="s">
        <v>30</v>
      </c>
      <c r="E48" t="s">
        <v>31</v>
      </c>
      <c r="F48">
        <v>2</v>
      </c>
      <c r="G48">
        <v>1</v>
      </c>
      <c r="H48" t="s">
        <v>103</v>
      </c>
      <c r="I48" t="s">
        <v>33</v>
      </c>
      <c r="J48" t="s">
        <v>34</v>
      </c>
      <c r="K48" s="1">
        <v>8.8400000000000006E-2</v>
      </c>
      <c r="L48" t="s">
        <v>30</v>
      </c>
      <c r="M48">
        <v>22</v>
      </c>
      <c r="N48" t="s">
        <v>46</v>
      </c>
      <c r="O48" t="s">
        <v>111</v>
      </c>
      <c r="P48">
        <v>0</v>
      </c>
      <c r="Q48">
        <v>100</v>
      </c>
      <c r="R48" t="s">
        <v>36</v>
      </c>
      <c r="S48">
        <v>12</v>
      </c>
      <c r="T48">
        <v>12</v>
      </c>
      <c r="U48" t="s">
        <v>112</v>
      </c>
      <c r="V48" t="s">
        <v>37</v>
      </c>
      <c r="W48">
        <v>450</v>
      </c>
      <c r="X48">
        <v>60</v>
      </c>
      <c r="Y48" t="s">
        <v>38</v>
      </c>
      <c r="Z48">
        <v>20</v>
      </c>
      <c r="AA48" t="s">
        <v>39</v>
      </c>
      <c r="AB48">
        <v>20</v>
      </c>
      <c r="AC48" t="s">
        <v>40</v>
      </c>
    </row>
    <row r="49" spans="1:29" x14ac:dyDescent="0.25">
      <c r="A49" t="s">
        <v>171</v>
      </c>
      <c r="B49" t="s">
        <v>29</v>
      </c>
      <c r="C49" t="s">
        <v>30</v>
      </c>
      <c r="D49" t="s">
        <v>30</v>
      </c>
      <c r="E49" t="s">
        <v>31</v>
      </c>
      <c r="F49">
        <v>2</v>
      </c>
      <c r="G49">
        <v>1</v>
      </c>
      <c r="H49" t="s">
        <v>104</v>
      </c>
      <c r="I49" t="s">
        <v>33</v>
      </c>
      <c r="J49" t="s">
        <v>34</v>
      </c>
      <c r="K49" s="1">
        <v>0.11609999999999999</v>
      </c>
      <c r="L49" t="s">
        <v>30</v>
      </c>
      <c r="M49">
        <v>22</v>
      </c>
      <c r="N49" t="s">
        <v>86</v>
      </c>
      <c r="O49" t="s">
        <v>111</v>
      </c>
      <c r="P49">
        <v>0</v>
      </c>
      <c r="Q49">
        <v>100</v>
      </c>
      <c r="R49" t="s">
        <v>36</v>
      </c>
      <c r="S49">
        <v>12</v>
      </c>
      <c r="T49">
        <v>12</v>
      </c>
      <c r="U49" t="s">
        <v>112</v>
      </c>
      <c r="V49" t="s">
        <v>37</v>
      </c>
      <c r="W49">
        <v>450</v>
      </c>
      <c r="X49">
        <v>60</v>
      </c>
      <c r="Y49" t="s">
        <v>38</v>
      </c>
      <c r="Z49">
        <v>20</v>
      </c>
      <c r="AA49" t="s">
        <v>39</v>
      </c>
      <c r="AB49">
        <v>20</v>
      </c>
      <c r="AC49" t="s">
        <v>40</v>
      </c>
    </row>
    <row r="50" spans="1:29" x14ac:dyDescent="0.25">
      <c r="A50" t="s">
        <v>172</v>
      </c>
      <c r="B50" t="s">
        <v>29</v>
      </c>
      <c r="C50" t="s">
        <v>30</v>
      </c>
      <c r="D50" t="s">
        <v>30</v>
      </c>
      <c r="E50" t="s">
        <v>31</v>
      </c>
      <c r="F50">
        <v>2</v>
      </c>
      <c r="G50">
        <v>2</v>
      </c>
      <c r="H50" t="s">
        <v>110</v>
      </c>
      <c r="I50" t="s">
        <v>33</v>
      </c>
      <c r="J50" t="s">
        <v>34</v>
      </c>
      <c r="K50" s="1">
        <v>6.7500000000000004E-2</v>
      </c>
      <c r="L50" t="s">
        <v>30</v>
      </c>
      <c r="M50">
        <v>22</v>
      </c>
      <c r="N50" t="s">
        <v>48</v>
      </c>
      <c r="O50" t="s">
        <v>173</v>
      </c>
      <c r="P50">
        <v>0</v>
      </c>
      <c r="Q50">
        <v>100</v>
      </c>
      <c r="R50" t="s">
        <v>36</v>
      </c>
      <c r="S50">
        <v>12</v>
      </c>
      <c r="T50">
        <v>12</v>
      </c>
      <c r="U50" t="s">
        <v>112</v>
      </c>
      <c r="V50" t="s">
        <v>37</v>
      </c>
      <c r="W50">
        <v>450</v>
      </c>
      <c r="X50">
        <v>60</v>
      </c>
      <c r="Y50" t="s">
        <v>38</v>
      </c>
      <c r="Z50">
        <v>20</v>
      </c>
      <c r="AA50" t="s">
        <v>39</v>
      </c>
      <c r="AB50">
        <v>20</v>
      </c>
      <c r="AC50" t="s">
        <v>40</v>
      </c>
    </row>
    <row r="51" spans="1:29" x14ac:dyDescent="0.25">
      <c r="A51" t="s">
        <v>174</v>
      </c>
      <c r="B51" t="s">
        <v>29</v>
      </c>
      <c r="C51" t="s">
        <v>30</v>
      </c>
      <c r="D51" t="s">
        <v>30</v>
      </c>
      <c r="E51" t="s">
        <v>31</v>
      </c>
      <c r="F51">
        <v>2</v>
      </c>
      <c r="G51">
        <v>2</v>
      </c>
      <c r="H51" t="s">
        <v>114</v>
      </c>
      <c r="I51" t="s">
        <v>33</v>
      </c>
      <c r="J51" t="s">
        <v>34</v>
      </c>
      <c r="K51" s="1">
        <v>6.88E-2</v>
      </c>
      <c r="L51" t="s">
        <v>30</v>
      </c>
      <c r="M51">
        <v>22</v>
      </c>
      <c r="N51" t="s">
        <v>88</v>
      </c>
      <c r="O51" t="s">
        <v>173</v>
      </c>
      <c r="P51">
        <v>0</v>
      </c>
      <c r="Q51">
        <v>100</v>
      </c>
      <c r="R51" t="s">
        <v>36</v>
      </c>
      <c r="S51">
        <v>12</v>
      </c>
      <c r="T51">
        <v>12</v>
      </c>
      <c r="U51" t="s">
        <v>112</v>
      </c>
      <c r="V51" t="s">
        <v>37</v>
      </c>
      <c r="W51">
        <v>450</v>
      </c>
      <c r="X51">
        <v>60</v>
      </c>
      <c r="Y51" t="s">
        <v>38</v>
      </c>
      <c r="Z51">
        <v>20</v>
      </c>
      <c r="AA51" t="s">
        <v>39</v>
      </c>
      <c r="AB51">
        <v>20</v>
      </c>
      <c r="AC51" t="s">
        <v>40</v>
      </c>
    </row>
    <row r="52" spans="1:29" x14ac:dyDescent="0.25">
      <c r="A52" t="s">
        <v>175</v>
      </c>
      <c r="B52" t="s">
        <v>29</v>
      </c>
      <c r="C52" t="s">
        <v>30</v>
      </c>
      <c r="D52" t="s">
        <v>30</v>
      </c>
      <c r="E52" t="s">
        <v>31</v>
      </c>
      <c r="F52">
        <v>2</v>
      </c>
      <c r="G52">
        <v>2</v>
      </c>
      <c r="H52" t="s">
        <v>116</v>
      </c>
      <c r="I52" t="s">
        <v>33</v>
      </c>
      <c r="J52" t="s">
        <v>34</v>
      </c>
      <c r="K52" s="1">
        <v>6.8699999999999997E-2</v>
      </c>
      <c r="L52" t="s">
        <v>30</v>
      </c>
      <c r="M52">
        <v>22</v>
      </c>
      <c r="N52" t="s">
        <v>50</v>
      </c>
      <c r="O52" t="s">
        <v>173</v>
      </c>
      <c r="P52">
        <v>0</v>
      </c>
      <c r="Q52">
        <v>100</v>
      </c>
      <c r="R52" t="s">
        <v>36</v>
      </c>
      <c r="S52">
        <v>12</v>
      </c>
      <c r="T52">
        <v>12</v>
      </c>
      <c r="U52" t="s">
        <v>112</v>
      </c>
      <c r="V52" t="s">
        <v>37</v>
      </c>
      <c r="W52">
        <v>450</v>
      </c>
      <c r="X52">
        <v>60</v>
      </c>
      <c r="Y52" t="s">
        <v>38</v>
      </c>
      <c r="Z52">
        <v>20</v>
      </c>
      <c r="AA52" t="s">
        <v>39</v>
      </c>
      <c r="AB52">
        <v>20</v>
      </c>
      <c r="AC52" t="s">
        <v>40</v>
      </c>
    </row>
    <row r="53" spans="1:29" x14ac:dyDescent="0.25">
      <c r="A53" t="s">
        <v>176</v>
      </c>
      <c r="B53" t="s">
        <v>29</v>
      </c>
      <c r="C53" t="s">
        <v>30</v>
      </c>
      <c r="D53" t="s">
        <v>30</v>
      </c>
      <c r="E53" t="s">
        <v>31</v>
      </c>
      <c r="F53">
        <v>2</v>
      </c>
      <c r="G53">
        <v>2</v>
      </c>
      <c r="H53" t="s">
        <v>118</v>
      </c>
      <c r="I53" t="s">
        <v>33</v>
      </c>
      <c r="J53" t="s">
        <v>34</v>
      </c>
      <c r="K53" s="1">
        <v>6.5799999999999997E-2</v>
      </c>
      <c r="L53" t="s">
        <v>30</v>
      </c>
      <c r="M53">
        <v>22</v>
      </c>
      <c r="N53" t="s">
        <v>90</v>
      </c>
      <c r="O53" t="s">
        <v>173</v>
      </c>
      <c r="P53">
        <v>0</v>
      </c>
      <c r="Q53">
        <v>100</v>
      </c>
      <c r="R53" t="s">
        <v>36</v>
      </c>
      <c r="S53">
        <v>12</v>
      </c>
      <c r="T53">
        <v>12</v>
      </c>
      <c r="U53" t="s">
        <v>112</v>
      </c>
      <c r="V53" t="s">
        <v>37</v>
      </c>
      <c r="W53">
        <v>450</v>
      </c>
      <c r="X53">
        <v>60</v>
      </c>
      <c r="Y53" t="s">
        <v>38</v>
      </c>
      <c r="Z53">
        <v>20</v>
      </c>
      <c r="AA53" t="s">
        <v>39</v>
      </c>
      <c r="AB53">
        <v>20</v>
      </c>
      <c r="AC53" t="s">
        <v>40</v>
      </c>
    </row>
    <row r="54" spans="1:29" x14ac:dyDescent="0.25">
      <c r="A54" t="s">
        <v>177</v>
      </c>
      <c r="B54" t="s">
        <v>29</v>
      </c>
      <c r="C54" t="s">
        <v>30</v>
      </c>
      <c r="D54" t="s">
        <v>30</v>
      </c>
      <c r="E54" t="s">
        <v>31</v>
      </c>
      <c r="F54">
        <v>2</v>
      </c>
      <c r="G54">
        <v>2</v>
      </c>
      <c r="H54" t="s">
        <v>120</v>
      </c>
      <c r="I54" t="s">
        <v>33</v>
      </c>
      <c r="J54" t="s">
        <v>34</v>
      </c>
      <c r="K54" s="1">
        <v>7.0000000000000007E-2</v>
      </c>
      <c r="L54" t="s">
        <v>30</v>
      </c>
      <c r="M54">
        <v>22</v>
      </c>
      <c r="N54" t="s">
        <v>52</v>
      </c>
      <c r="O54" t="s">
        <v>173</v>
      </c>
      <c r="P54">
        <v>0</v>
      </c>
      <c r="Q54">
        <v>100</v>
      </c>
      <c r="R54" t="s">
        <v>36</v>
      </c>
      <c r="S54">
        <v>12</v>
      </c>
      <c r="T54">
        <v>12</v>
      </c>
      <c r="U54" t="s">
        <v>112</v>
      </c>
      <c r="V54" t="s">
        <v>37</v>
      </c>
      <c r="W54">
        <v>450</v>
      </c>
      <c r="X54">
        <v>60</v>
      </c>
      <c r="Y54" t="s">
        <v>38</v>
      </c>
      <c r="Z54">
        <v>20</v>
      </c>
      <c r="AA54" t="s">
        <v>39</v>
      </c>
      <c r="AB54">
        <v>20</v>
      </c>
      <c r="AC54" t="s">
        <v>40</v>
      </c>
    </row>
    <row r="55" spans="1:29" x14ac:dyDescent="0.25">
      <c r="A55" t="s">
        <v>178</v>
      </c>
      <c r="B55" t="s">
        <v>29</v>
      </c>
      <c r="C55" t="s">
        <v>30</v>
      </c>
      <c r="D55" t="s">
        <v>30</v>
      </c>
      <c r="E55" t="s">
        <v>31</v>
      </c>
      <c r="F55">
        <v>2</v>
      </c>
      <c r="G55">
        <v>2</v>
      </c>
      <c r="H55" t="s">
        <v>122</v>
      </c>
      <c r="I55" t="s">
        <v>33</v>
      </c>
      <c r="J55" t="s">
        <v>34</v>
      </c>
      <c r="K55" s="1">
        <v>6.7500000000000004E-2</v>
      </c>
      <c r="L55" t="s">
        <v>30</v>
      </c>
      <c r="M55">
        <v>22</v>
      </c>
      <c r="N55" t="s">
        <v>92</v>
      </c>
      <c r="O55" t="s">
        <v>173</v>
      </c>
      <c r="P55">
        <v>0</v>
      </c>
      <c r="Q55">
        <v>100</v>
      </c>
      <c r="R55" t="s">
        <v>36</v>
      </c>
      <c r="S55">
        <v>12</v>
      </c>
      <c r="T55">
        <v>12</v>
      </c>
      <c r="U55" t="s">
        <v>112</v>
      </c>
      <c r="V55" t="s">
        <v>37</v>
      </c>
      <c r="W55">
        <v>450</v>
      </c>
      <c r="X55">
        <v>60</v>
      </c>
      <c r="Y55" t="s">
        <v>38</v>
      </c>
      <c r="Z55">
        <v>20</v>
      </c>
      <c r="AA55" t="s">
        <v>39</v>
      </c>
      <c r="AB55">
        <v>20</v>
      </c>
      <c r="AC55" t="s">
        <v>40</v>
      </c>
    </row>
    <row r="56" spans="1:29" x14ac:dyDescent="0.25">
      <c r="A56" t="s">
        <v>179</v>
      </c>
      <c r="B56" t="s">
        <v>29</v>
      </c>
      <c r="C56" t="s">
        <v>30</v>
      </c>
      <c r="D56" t="s">
        <v>30</v>
      </c>
      <c r="E56" t="s">
        <v>31</v>
      </c>
      <c r="F56">
        <v>2</v>
      </c>
      <c r="G56">
        <v>2</v>
      </c>
      <c r="H56" t="s">
        <v>124</v>
      </c>
      <c r="I56" t="s">
        <v>33</v>
      </c>
      <c r="J56" t="s">
        <v>34</v>
      </c>
      <c r="K56" s="1">
        <v>7.4499999999999997E-2</v>
      </c>
      <c r="L56" t="s">
        <v>30</v>
      </c>
      <c r="M56">
        <v>22</v>
      </c>
      <c r="N56" t="s">
        <v>54</v>
      </c>
      <c r="O56" t="s">
        <v>173</v>
      </c>
      <c r="P56">
        <v>0</v>
      </c>
      <c r="Q56">
        <v>100</v>
      </c>
      <c r="R56" t="s">
        <v>36</v>
      </c>
      <c r="S56">
        <v>12</v>
      </c>
      <c r="T56">
        <v>12</v>
      </c>
      <c r="U56" t="s">
        <v>112</v>
      </c>
      <c r="V56" t="s">
        <v>37</v>
      </c>
      <c r="W56">
        <v>450</v>
      </c>
      <c r="X56">
        <v>60</v>
      </c>
      <c r="Y56" t="s">
        <v>38</v>
      </c>
      <c r="Z56">
        <v>20</v>
      </c>
      <c r="AA56" t="s">
        <v>39</v>
      </c>
      <c r="AB56">
        <v>20</v>
      </c>
      <c r="AC56" t="s">
        <v>40</v>
      </c>
    </row>
    <row r="57" spans="1:29" x14ac:dyDescent="0.25">
      <c r="A57" t="s">
        <v>180</v>
      </c>
      <c r="B57" t="s">
        <v>29</v>
      </c>
      <c r="C57" t="s">
        <v>30</v>
      </c>
      <c r="D57" t="s">
        <v>30</v>
      </c>
      <c r="E57" t="s">
        <v>31</v>
      </c>
      <c r="F57">
        <v>2</v>
      </c>
      <c r="G57">
        <v>2</v>
      </c>
      <c r="H57" t="s">
        <v>126</v>
      </c>
      <c r="I57" t="s">
        <v>33</v>
      </c>
      <c r="J57" t="s">
        <v>34</v>
      </c>
      <c r="K57" s="1">
        <v>7.1599999999999997E-2</v>
      </c>
      <c r="L57" t="s">
        <v>30</v>
      </c>
      <c r="M57">
        <v>22</v>
      </c>
      <c r="N57" t="s">
        <v>94</v>
      </c>
      <c r="O57" t="s">
        <v>173</v>
      </c>
      <c r="P57">
        <v>0</v>
      </c>
      <c r="Q57">
        <v>100</v>
      </c>
      <c r="R57" t="s">
        <v>36</v>
      </c>
      <c r="S57">
        <v>12</v>
      </c>
      <c r="T57">
        <v>12</v>
      </c>
      <c r="U57" t="s">
        <v>112</v>
      </c>
      <c r="V57" t="s">
        <v>37</v>
      </c>
      <c r="W57">
        <v>450</v>
      </c>
      <c r="X57">
        <v>60</v>
      </c>
      <c r="Y57" t="s">
        <v>38</v>
      </c>
      <c r="Z57">
        <v>20</v>
      </c>
      <c r="AA57" t="s">
        <v>39</v>
      </c>
      <c r="AB57">
        <v>20</v>
      </c>
      <c r="AC57" t="s">
        <v>40</v>
      </c>
    </row>
    <row r="58" spans="1:29" x14ac:dyDescent="0.25">
      <c r="A58" t="s">
        <v>181</v>
      </c>
      <c r="B58" t="s">
        <v>29</v>
      </c>
      <c r="C58" t="s">
        <v>30</v>
      </c>
      <c r="D58" t="s">
        <v>30</v>
      </c>
      <c r="E58" t="s">
        <v>31</v>
      </c>
      <c r="F58">
        <v>2</v>
      </c>
      <c r="G58">
        <v>2</v>
      </c>
      <c r="H58" t="s">
        <v>182</v>
      </c>
      <c r="I58" t="s">
        <v>33</v>
      </c>
      <c r="J58" t="s">
        <v>34</v>
      </c>
      <c r="K58" s="1">
        <v>6.3600000000000004E-2</v>
      </c>
      <c r="L58" t="s">
        <v>30</v>
      </c>
      <c r="M58">
        <v>22</v>
      </c>
      <c r="N58" t="s">
        <v>56</v>
      </c>
      <c r="O58" t="s">
        <v>173</v>
      </c>
      <c r="P58">
        <v>0</v>
      </c>
      <c r="Q58">
        <v>100</v>
      </c>
      <c r="R58" t="s">
        <v>36</v>
      </c>
      <c r="S58">
        <v>12</v>
      </c>
      <c r="T58">
        <v>12</v>
      </c>
      <c r="U58" t="s">
        <v>112</v>
      </c>
      <c r="V58" t="s">
        <v>37</v>
      </c>
      <c r="W58">
        <v>450</v>
      </c>
      <c r="X58">
        <v>60</v>
      </c>
      <c r="Y58" t="s">
        <v>38</v>
      </c>
      <c r="Z58">
        <v>20</v>
      </c>
      <c r="AA58" t="s">
        <v>39</v>
      </c>
      <c r="AB58">
        <v>20</v>
      </c>
      <c r="AC58" t="s">
        <v>40</v>
      </c>
    </row>
    <row r="59" spans="1:29" x14ac:dyDescent="0.25">
      <c r="A59" t="s">
        <v>183</v>
      </c>
      <c r="B59" t="s">
        <v>29</v>
      </c>
      <c r="C59" t="s">
        <v>30</v>
      </c>
      <c r="D59" t="s">
        <v>30</v>
      </c>
      <c r="E59" t="s">
        <v>31</v>
      </c>
      <c r="F59">
        <v>2</v>
      </c>
      <c r="G59">
        <v>2</v>
      </c>
      <c r="H59" t="s">
        <v>184</v>
      </c>
      <c r="I59" t="s">
        <v>33</v>
      </c>
      <c r="J59" t="s">
        <v>34</v>
      </c>
      <c r="K59" s="1">
        <v>6.9800000000000001E-2</v>
      </c>
      <c r="L59" t="s">
        <v>30</v>
      </c>
      <c r="M59">
        <v>22</v>
      </c>
      <c r="N59" t="s">
        <v>96</v>
      </c>
      <c r="O59" t="s">
        <v>173</v>
      </c>
      <c r="P59">
        <v>0</v>
      </c>
      <c r="Q59">
        <v>100</v>
      </c>
      <c r="R59" t="s">
        <v>36</v>
      </c>
      <c r="S59">
        <v>12</v>
      </c>
      <c r="T59">
        <v>12</v>
      </c>
      <c r="U59" t="s">
        <v>112</v>
      </c>
      <c r="V59" t="s">
        <v>37</v>
      </c>
      <c r="W59">
        <v>450</v>
      </c>
      <c r="X59">
        <v>60</v>
      </c>
      <c r="Y59" t="s">
        <v>38</v>
      </c>
      <c r="Z59">
        <v>20</v>
      </c>
      <c r="AA59" t="s">
        <v>39</v>
      </c>
      <c r="AB59">
        <v>20</v>
      </c>
      <c r="AC59" t="s">
        <v>40</v>
      </c>
    </row>
    <row r="60" spans="1:29" x14ac:dyDescent="0.25">
      <c r="A60" t="s">
        <v>185</v>
      </c>
      <c r="B60" t="s">
        <v>29</v>
      </c>
      <c r="C60" t="s">
        <v>30</v>
      </c>
      <c r="D60" t="s">
        <v>30</v>
      </c>
      <c r="E60" t="s">
        <v>31</v>
      </c>
      <c r="F60">
        <v>2</v>
      </c>
      <c r="G60">
        <v>2</v>
      </c>
      <c r="H60" t="s">
        <v>186</v>
      </c>
      <c r="I60" t="s">
        <v>33</v>
      </c>
      <c r="J60" t="s">
        <v>34</v>
      </c>
      <c r="K60" s="1">
        <v>6.7500000000000004E-2</v>
      </c>
      <c r="L60" t="s">
        <v>30</v>
      </c>
      <c r="M60">
        <v>22</v>
      </c>
      <c r="N60" t="s">
        <v>58</v>
      </c>
      <c r="O60" t="s">
        <v>173</v>
      </c>
      <c r="P60">
        <v>0</v>
      </c>
      <c r="Q60">
        <v>100</v>
      </c>
      <c r="R60" t="s">
        <v>36</v>
      </c>
      <c r="S60">
        <v>12</v>
      </c>
      <c r="T60">
        <v>12</v>
      </c>
      <c r="U60" t="s">
        <v>112</v>
      </c>
      <c r="V60" t="s">
        <v>37</v>
      </c>
      <c r="W60">
        <v>450</v>
      </c>
      <c r="X60">
        <v>60</v>
      </c>
      <c r="Y60" t="s">
        <v>38</v>
      </c>
      <c r="Z60">
        <v>20</v>
      </c>
      <c r="AA60" t="s">
        <v>39</v>
      </c>
      <c r="AB60">
        <v>20</v>
      </c>
      <c r="AC60" t="s">
        <v>40</v>
      </c>
    </row>
    <row r="61" spans="1:29" x14ac:dyDescent="0.25">
      <c r="A61" t="s">
        <v>187</v>
      </c>
      <c r="B61" t="s">
        <v>29</v>
      </c>
      <c r="C61" t="s">
        <v>30</v>
      </c>
      <c r="D61" t="s">
        <v>30</v>
      </c>
      <c r="E61" t="s">
        <v>31</v>
      </c>
      <c r="F61">
        <v>2</v>
      </c>
      <c r="G61">
        <v>2</v>
      </c>
      <c r="H61" t="s">
        <v>128</v>
      </c>
      <c r="I61" t="s">
        <v>33</v>
      </c>
      <c r="J61" t="s">
        <v>34</v>
      </c>
      <c r="K61" s="1">
        <v>6.8900000000000003E-2</v>
      </c>
      <c r="L61" t="s">
        <v>30</v>
      </c>
      <c r="M61">
        <v>22</v>
      </c>
      <c r="N61" t="s">
        <v>48</v>
      </c>
      <c r="O61" t="s">
        <v>173</v>
      </c>
      <c r="P61">
        <v>0</v>
      </c>
      <c r="Q61">
        <v>100</v>
      </c>
      <c r="R61" t="s">
        <v>36</v>
      </c>
      <c r="S61">
        <v>12</v>
      </c>
      <c r="T61">
        <v>12</v>
      </c>
      <c r="U61" t="s">
        <v>112</v>
      </c>
      <c r="V61" t="s">
        <v>37</v>
      </c>
      <c r="W61">
        <v>450</v>
      </c>
      <c r="X61">
        <v>60</v>
      </c>
      <c r="Y61" t="s">
        <v>38</v>
      </c>
      <c r="Z61">
        <v>20</v>
      </c>
      <c r="AA61" t="s">
        <v>39</v>
      </c>
      <c r="AB61">
        <v>20</v>
      </c>
      <c r="AC61" t="s">
        <v>40</v>
      </c>
    </row>
    <row r="62" spans="1:29" x14ac:dyDescent="0.25">
      <c r="A62" t="s">
        <v>188</v>
      </c>
      <c r="B62" t="s">
        <v>29</v>
      </c>
      <c r="C62" t="s">
        <v>30</v>
      </c>
      <c r="D62" t="s">
        <v>30</v>
      </c>
      <c r="E62" t="s">
        <v>31</v>
      </c>
      <c r="F62">
        <v>2</v>
      </c>
      <c r="G62">
        <v>2</v>
      </c>
      <c r="H62" t="s">
        <v>32</v>
      </c>
      <c r="I62" t="s">
        <v>33</v>
      </c>
      <c r="J62" t="s">
        <v>34</v>
      </c>
      <c r="K62" s="1">
        <v>7.3700000000000002E-2</v>
      </c>
      <c r="L62" t="s">
        <v>30</v>
      </c>
      <c r="M62">
        <v>22</v>
      </c>
      <c r="N62" t="s">
        <v>88</v>
      </c>
      <c r="O62" t="s">
        <v>173</v>
      </c>
      <c r="P62">
        <v>0</v>
      </c>
      <c r="Q62">
        <v>100</v>
      </c>
      <c r="R62" t="s">
        <v>36</v>
      </c>
      <c r="S62">
        <v>12</v>
      </c>
      <c r="T62">
        <v>12</v>
      </c>
      <c r="U62" t="s">
        <v>112</v>
      </c>
      <c r="V62" t="s">
        <v>37</v>
      </c>
      <c r="W62">
        <v>450</v>
      </c>
      <c r="X62">
        <v>60</v>
      </c>
      <c r="Y62" t="s">
        <v>38</v>
      </c>
      <c r="Z62">
        <v>20</v>
      </c>
      <c r="AA62" t="s">
        <v>39</v>
      </c>
      <c r="AB62">
        <v>20</v>
      </c>
      <c r="AC62" t="s">
        <v>40</v>
      </c>
    </row>
    <row r="63" spans="1:29" x14ac:dyDescent="0.25">
      <c r="A63" t="s">
        <v>189</v>
      </c>
      <c r="B63" t="s">
        <v>29</v>
      </c>
      <c r="C63" t="s">
        <v>30</v>
      </c>
      <c r="D63" t="s">
        <v>30</v>
      </c>
      <c r="E63" t="s">
        <v>31</v>
      </c>
      <c r="F63">
        <v>2</v>
      </c>
      <c r="G63">
        <v>2</v>
      </c>
      <c r="H63" t="s">
        <v>41</v>
      </c>
      <c r="I63" t="s">
        <v>33</v>
      </c>
      <c r="J63" t="s">
        <v>34</v>
      </c>
      <c r="K63" s="1">
        <v>6.8500000000000005E-2</v>
      </c>
      <c r="L63" t="s">
        <v>30</v>
      </c>
      <c r="M63">
        <v>22</v>
      </c>
      <c r="N63" t="s">
        <v>50</v>
      </c>
      <c r="O63" t="s">
        <v>173</v>
      </c>
      <c r="P63">
        <v>0</v>
      </c>
      <c r="Q63">
        <v>100</v>
      </c>
      <c r="R63" t="s">
        <v>36</v>
      </c>
      <c r="S63">
        <v>12</v>
      </c>
      <c r="T63">
        <v>12</v>
      </c>
      <c r="U63" t="s">
        <v>112</v>
      </c>
      <c r="V63" t="s">
        <v>37</v>
      </c>
      <c r="W63">
        <v>450</v>
      </c>
      <c r="X63">
        <v>60</v>
      </c>
      <c r="Y63" t="s">
        <v>38</v>
      </c>
      <c r="Z63">
        <v>20</v>
      </c>
      <c r="AA63" t="s">
        <v>39</v>
      </c>
      <c r="AB63">
        <v>20</v>
      </c>
      <c r="AC63" t="s">
        <v>40</v>
      </c>
    </row>
    <row r="64" spans="1:29" x14ac:dyDescent="0.25">
      <c r="A64" t="s">
        <v>190</v>
      </c>
      <c r="B64" t="s">
        <v>29</v>
      </c>
      <c r="C64" t="s">
        <v>30</v>
      </c>
      <c r="D64" t="s">
        <v>30</v>
      </c>
      <c r="E64" t="s">
        <v>31</v>
      </c>
      <c r="F64">
        <v>2</v>
      </c>
      <c r="G64">
        <v>2</v>
      </c>
      <c r="H64" t="s">
        <v>43</v>
      </c>
      <c r="I64" t="s">
        <v>33</v>
      </c>
      <c r="J64" t="s">
        <v>34</v>
      </c>
      <c r="K64" s="1">
        <v>7.1499999999999994E-2</v>
      </c>
      <c r="L64" t="s">
        <v>30</v>
      </c>
      <c r="M64">
        <v>22</v>
      </c>
      <c r="N64" t="s">
        <v>90</v>
      </c>
      <c r="O64" t="s">
        <v>173</v>
      </c>
      <c r="P64">
        <v>0</v>
      </c>
      <c r="Q64">
        <v>100</v>
      </c>
      <c r="R64" t="s">
        <v>36</v>
      </c>
      <c r="S64">
        <v>12</v>
      </c>
      <c r="T64">
        <v>12</v>
      </c>
      <c r="U64" t="s">
        <v>112</v>
      </c>
      <c r="V64" t="s">
        <v>37</v>
      </c>
      <c r="W64">
        <v>450</v>
      </c>
      <c r="X64">
        <v>60</v>
      </c>
      <c r="Y64" t="s">
        <v>38</v>
      </c>
      <c r="Z64">
        <v>20</v>
      </c>
      <c r="AA64" t="s">
        <v>39</v>
      </c>
      <c r="AB64">
        <v>20</v>
      </c>
      <c r="AC64" t="s">
        <v>40</v>
      </c>
    </row>
    <row r="65" spans="1:29" x14ac:dyDescent="0.25">
      <c r="A65" t="s">
        <v>191</v>
      </c>
      <c r="B65" t="s">
        <v>29</v>
      </c>
      <c r="C65" t="s">
        <v>30</v>
      </c>
      <c r="D65" t="s">
        <v>30</v>
      </c>
      <c r="E65" t="s">
        <v>31</v>
      </c>
      <c r="F65">
        <v>2</v>
      </c>
      <c r="G65">
        <v>2</v>
      </c>
      <c r="H65" t="s">
        <v>45</v>
      </c>
      <c r="I65" t="s">
        <v>33</v>
      </c>
      <c r="J65" t="s">
        <v>34</v>
      </c>
      <c r="K65" s="1">
        <v>7.3099999999999998E-2</v>
      </c>
      <c r="L65" t="s">
        <v>30</v>
      </c>
      <c r="M65">
        <v>22</v>
      </c>
      <c r="N65" t="s">
        <v>52</v>
      </c>
      <c r="O65" t="s">
        <v>173</v>
      </c>
      <c r="P65">
        <v>0</v>
      </c>
      <c r="Q65">
        <v>100</v>
      </c>
      <c r="R65" t="s">
        <v>36</v>
      </c>
      <c r="S65">
        <v>12</v>
      </c>
      <c r="T65">
        <v>12</v>
      </c>
      <c r="U65" t="s">
        <v>112</v>
      </c>
      <c r="V65" t="s">
        <v>37</v>
      </c>
      <c r="W65">
        <v>450</v>
      </c>
      <c r="X65">
        <v>60</v>
      </c>
      <c r="Y65" t="s">
        <v>38</v>
      </c>
      <c r="Z65">
        <v>20</v>
      </c>
      <c r="AA65" t="s">
        <v>39</v>
      </c>
      <c r="AB65">
        <v>20</v>
      </c>
      <c r="AC65" t="s">
        <v>40</v>
      </c>
    </row>
    <row r="66" spans="1:29" x14ac:dyDescent="0.25">
      <c r="A66" t="s">
        <v>192</v>
      </c>
      <c r="B66" t="s">
        <v>29</v>
      </c>
      <c r="C66" t="s">
        <v>30</v>
      </c>
      <c r="D66" t="s">
        <v>30</v>
      </c>
      <c r="E66" t="s">
        <v>31</v>
      </c>
      <c r="F66">
        <v>2</v>
      </c>
      <c r="G66">
        <v>2</v>
      </c>
      <c r="H66" t="s">
        <v>47</v>
      </c>
      <c r="I66" t="s">
        <v>33</v>
      </c>
      <c r="J66" t="s">
        <v>34</v>
      </c>
      <c r="K66" s="1">
        <v>7.3099999999999998E-2</v>
      </c>
      <c r="L66" t="s">
        <v>30</v>
      </c>
      <c r="M66">
        <v>22</v>
      </c>
      <c r="N66" t="s">
        <v>92</v>
      </c>
      <c r="O66" t="s">
        <v>173</v>
      </c>
      <c r="P66">
        <v>0</v>
      </c>
      <c r="Q66">
        <v>100</v>
      </c>
      <c r="R66" t="s">
        <v>36</v>
      </c>
      <c r="S66">
        <v>12</v>
      </c>
      <c r="T66">
        <v>12</v>
      </c>
      <c r="U66" t="s">
        <v>112</v>
      </c>
      <c r="V66" t="s">
        <v>37</v>
      </c>
      <c r="W66">
        <v>450</v>
      </c>
      <c r="X66">
        <v>60</v>
      </c>
      <c r="Y66" t="s">
        <v>38</v>
      </c>
      <c r="Z66">
        <v>20</v>
      </c>
      <c r="AA66" t="s">
        <v>39</v>
      </c>
      <c r="AB66">
        <v>20</v>
      </c>
      <c r="AC66" t="s">
        <v>40</v>
      </c>
    </row>
    <row r="67" spans="1:29" x14ac:dyDescent="0.25">
      <c r="A67" t="s">
        <v>193</v>
      </c>
      <c r="B67" t="s">
        <v>29</v>
      </c>
      <c r="C67" t="s">
        <v>30</v>
      </c>
      <c r="D67" t="s">
        <v>30</v>
      </c>
      <c r="E67" t="s">
        <v>31</v>
      </c>
      <c r="F67">
        <v>2</v>
      </c>
      <c r="G67">
        <v>2</v>
      </c>
      <c r="H67" t="s">
        <v>49</v>
      </c>
      <c r="I67" t="s">
        <v>33</v>
      </c>
      <c r="J67" t="s">
        <v>34</v>
      </c>
      <c r="K67" s="1">
        <v>7.3099999999999998E-2</v>
      </c>
      <c r="L67" t="s">
        <v>30</v>
      </c>
      <c r="M67">
        <v>22</v>
      </c>
      <c r="N67" t="s">
        <v>54</v>
      </c>
      <c r="O67" t="s">
        <v>173</v>
      </c>
      <c r="P67">
        <v>0</v>
      </c>
      <c r="Q67">
        <v>100</v>
      </c>
      <c r="R67" t="s">
        <v>36</v>
      </c>
      <c r="S67">
        <v>12</v>
      </c>
      <c r="T67">
        <v>12</v>
      </c>
      <c r="U67" t="s">
        <v>112</v>
      </c>
      <c r="V67" t="s">
        <v>37</v>
      </c>
      <c r="W67">
        <v>450</v>
      </c>
      <c r="X67">
        <v>60</v>
      </c>
      <c r="Y67" t="s">
        <v>38</v>
      </c>
      <c r="Z67">
        <v>20</v>
      </c>
      <c r="AA67" t="s">
        <v>39</v>
      </c>
      <c r="AB67">
        <v>20</v>
      </c>
      <c r="AC67" t="s">
        <v>40</v>
      </c>
    </row>
    <row r="68" spans="1:29" x14ac:dyDescent="0.25">
      <c r="A68" t="s">
        <v>194</v>
      </c>
      <c r="B68" t="s">
        <v>29</v>
      </c>
      <c r="C68" t="s">
        <v>30</v>
      </c>
      <c r="D68" t="s">
        <v>30</v>
      </c>
      <c r="E68" t="s">
        <v>31</v>
      </c>
      <c r="F68">
        <v>2</v>
      </c>
      <c r="G68">
        <v>2</v>
      </c>
      <c r="H68" t="s">
        <v>51</v>
      </c>
      <c r="I68" t="s">
        <v>33</v>
      </c>
      <c r="J68" t="s">
        <v>34</v>
      </c>
      <c r="K68" s="1">
        <v>6.8699999999999997E-2</v>
      </c>
      <c r="L68" t="s">
        <v>30</v>
      </c>
      <c r="M68">
        <v>22</v>
      </c>
      <c r="N68" t="s">
        <v>94</v>
      </c>
      <c r="O68" t="s">
        <v>173</v>
      </c>
      <c r="P68">
        <v>0</v>
      </c>
      <c r="Q68">
        <v>100</v>
      </c>
      <c r="R68" t="s">
        <v>36</v>
      </c>
      <c r="S68">
        <v>12</v>
      </c>
      <c r="T68">
        <v>12</v>
      </c>
      <c r="U68" t="s">
        <v>112</v>
      </c>
      <c r="V68" t="s">
        <v>37</v>
      </c>
      <c r="W68">
        <v>450</v>
      </c>
      <c r="X68">
        <v>60</v>
      </c>
      <c r="Y68" t="s">
        <v>38</v>
      </c>
      <c r="Z68">
        <v>20</v>
      </c>
      <c r="AA68" t="s">
        <v>39</v>
      </c>
      <c r="AB68">
        <v>20</v>
      </c>
      <c r="AC68" t="s">
        <v>40</v>
      </c>
    </row>
    <row r="69" spans="1:29" x14ac:dyDescent="0.25">
      <c r="A69" t="s">
        <v>195</v>
      </c>
      <c r="B69" t="s">
        <v>29</v>
      </c>
      <c r="C69" t="s">
        <v>30</v>
      </c>
      <c r="D69" t="s">
        <v>30</v>
      </c>
      <c r="E69" t="s">
        <v>31</v>
      </c>
      <c r="F69">
        <v>2</v>
      </c>
      <c r="G69">
        <v>2</v>
      </c>
      <c r="H69" t="s">
        <v>53</v>
      </c>
      <c r="I69" t="s">
        <v>33</v>
      </c>
      <c r="J69" t="s">
        <v>34</v>
      </c>
      <c r="K69" s="1">
        <v>6.3799999999999996E-2</v>
      </c>
      <c r="L69" t="s">
        <v>30</v>
      </c>
      <c r="M69">
        <v>22</v>
      </c>
      <c r="N69" t="s">
        <v>56</v>
      </c>
      <c r="O69" t="s">
        <v>173</v>
      </c>
      <c r="P69">
        <v>0</v>
      </c>
      <c r="Q69">
        <v>100</v>
      </c>
      <c r="R69" t="s">
        <v>36</v>
      </c>
      <c r="S69">
        <v>12</v>
      </c>
      <c r="T69">
        <v>12</v>
      </c>
      <c r="U69" t="s">
        <v>112</v>
      </c>
      <c r="V69" t="s">
        <v>37</v>
      </c>
      <c r="W69">
        <v>450</v>
      </c>
      <c r="X69">
        <v>60</v>
      </c>
      <c r="Y69" t="s">
        <v>38</v>
      </c>
      <c r="Z69">
        <v>20</v>
      </c>
      <c r="AA69" t="s">
        <v>39</v>
      </c>
      <c r="AB69">
        <v>20</v>
      </c>
      <c r="AC69" t="s">
        <v>40</v>
      </c>
    </row>
    <row r="70" spans="1:29" x14ac:dyDescent="0.25">
      <c r="A70" t="s">
        <v>196</v>
      </c>
      <c r="B70" t="s">
        <v>29</v>
      </c>
      <c r="C70" t="s">
        <v>30</v>
      </c>
      <c r="D70" t="s">
        <v>30</v>
      </c>
      <c r="E70" t="s">
        <v>31</v>
      </c>
      <c r="F70">
        <v>2</v>
      </c>
      <c r="G70">
        <v>2</v>
      </c>
      <c r="H70" t="s">
        <v>55</v>
      </c>
      <c r="I70" t="s">
        <v>33</v>
      </c>
      <c r="J70" t="s">
        <v>34</v>
      </c>
      <c r="K70" s="1">
        <v>6.4299999999999996E-2</v>
      </c>
      <c r="L70" t="s">
        <v>30</v>
      </c>
      <c r="M70">
        <v>22</v>
      </c>
      <c r="N70" t="s">
        <v>96</v>
      </c>
      <c r="O70" t="s">
        <v>173</v>
      </c>
      <c r="P70">
        <v>0</v>
      </c>
      <c r="Q70">
        <v>100</v>
      </c>
      <c r="R70" t="s">
        <v>36</v>
      </c>
      <c r="S70">
        <v>12</v>
      </c>
      <c r="T70">
        <v>12</v>
      </c>
      <c r="U70" t="s">
        <v>112</v>
      </c>
      <c r="V70" t="s">
        <v>37</v>
      </c>
      <c r="W70">
        <v>450</v>
      </c>
      <c r="X70">
        <v>60</v>
      </c>
      <c r="Y70" t="s">
        <v>38</v>
      </c>
      <c r="Z70">
        <v>20</v>
      </c>
      <c r="AA70" t="s">
        <v>39</v>
      </c>
      <c r="AB70">
        <v>20</v>
      </c>
      <c r="AC70" t="s">
        <v>40</v>
      </c>
    </row>
    <row r="71" spans="1:29" x14ac:dyDescent="0.25">
      <c r="A71" t="s">
        <v>197</v>
      </c>
      <c r="B71" t="s">
        <v>29</v>
      </c>
      <c r="C71" t="s">
        <v>30</v>
      </c>
      <c r="D71" t="s">
        <v>30</v>
      </c>
      <c r="E71" t="s">
        <v>31</v>
      </c>
      <c r="F71">
        <v>2</v>
      </c>
      <c r="G71">
        <v>2</v>
      </c>
      <c r="H71" t="s">
        <v>57</v>
      </c>
      <c r="I71" t="s">
        <v>33</v>
      </c>
      <c r="J71" t="s">
        <v>34</v>
      </c>
      <c r="K71" s="1">
        <v>6.4199999999999993E-2</v>
      </c>
      <c r="L71" t="s">
        <v>30</v>
      </c>
      <c r="M71">
        <v>22</v>
      </c>
      <c r="N71" t="s">
        <v>58</v>
      </c>
      <c r="O71" t="s">
        <v>173</v>
      </c>
      <c r="P71">
        <v>0</v>
      </c>
      <c r="Q71">
        <v>100</v>
      </c>
      <c r="R71" t="s">
        <v>36</v>
      </c>
      <c r="S71">
        <v>12</v>
      </c>
      <c r="T71">
        <v>12</v>
      </c>
      <c r="U71" t="s">
        <v>112</v>
      </c>
      <c r="V71" t="s">
        <v>37</v>
      </c>
      <c r="W71">
        <v>450</v>
      </c>
      <c r="X71">
        <v>60</v>
      </c>
      <c r="Y71" t="s">
        <v>38</v>
      </c>
      <c r="Z71">
        <v>20</v>
      </c>
      <c r="AA71" t="s">
        <v>39</v>
      </c>
      <c r="AB71">
        <v>20</v>
      </c>
      <c r="AC71" t="s">
        <v>40</v>
      </c>
    </row>
    <row r="72" spans="1:29" x14ac:dyDescent="0.25">
      <c r="A72" t="s">
        <v>198</v>
      </c>
      <c r="B72" t="s">
        <v>29</v>
      </c>
      <c r="C72" t="s">
        <v>30</v>
      </c>
      <c r="D72" t="s">
        <v>30</v>
      </c>
      <c r="E72" t="s">
        <v>31</v>
      </c>
      <c r="F72">
        <v>2</v>
      </c>
      <c r="G72">
        <v>2</v>
      </c>
      <c r="H72" t="s">
        <v>137</v>
      </c>
      <c r="I72" t="s">
        <v>33</v>
      </c>
      <c r="J72" t="s">
        <v>34</v>
      </c>
      <c r="K72" s="1">
        <v>7.1900000000000006E-2</v>
      </c>
      <c r="L72" t="s">
        <v>30</v>
      </c>
      <c r="M72">
        <v>22</v>
      </c>
      <c r="N72" t="s">
        <v>48</v>
      </c>
      <c r="O72" t="s">
        <v>173</v>
      </c>
      <c r="P72">
        <v>0</v>
      </c>
      <c r="Q72">
        <v>100</v>
      </c>
      <c r="R72" t="s">
        <v>36</v>
      </c>
      <c r="S72">
        <v>12</v>
      </c>
      <c r="T72">
        <v>12</v>
      </c>
      <c r="U72" t="s">
        <v>112</v>
      </c>
      <c r="V72" t="s">
        <v>37</v>
      </c>
      <c r="W72">
        <v>450</v>
      </c>
      <c r="X72">
        <v>60</v>
      </c>
      <c r="Y72" t="s">
        <v>38</v>
      </c>
      <c r="Z72">
        <v>20</v>
      </c>
      <c r="AA72" t="s">
        <v>39</v>
      </c>
      <c r="AB72">
        <v>20</v>
      </c>
      <c r="AC72" t="s">
        <v>40</v>
      </c>
    </row>
    <row r="73" spans="1:29" x14ac:dyDescent="0.25">
      <c r="A73" t="s">
        <v>199</v>
      </c>
      <c r="B73" t="s">
        <v>29</v>
      </c>
      <c r="C73" t="s">
        <v>30</v>
      </c>
      <c r="D73" t="s">
        <v>30</v>
      </c>
      <c r="E73" t="s">
        <v>31</v>
      </c>
      <c r="F73">
        <v>2</v>
      </c>
      <c r="G73">
        <v>2</v>
      </c>
      <c r="H73" t="s">
        <v>59</v>
      </c>
      <c r="I73" t="s">
        <v>33</v>
      </c>
      <c r="J73" t="s">
        <v>34</v>
      </c>
      <c r="K73" s="1">
        <v>7.6499999999999999E-2</v>
      </c>
      <c r="L73" t="s">
        <v>30</v>
      </c>
      <c r="M73">
        <v>22</v>
      </c>
      <c r="N73" t="s">
        <v>88</v>
      </c>
      <c r="O73" t="s">
        <v>173</v>
      </c>
      <c r="P73">
        <v>0</v>
      </c>
      <c r="Q73">
        <v>100</v>
      </c>
      <c r="R73" t="s">
        <v>36</v>
      </c>
      <c r="S73">
        <v>12</v>
      </c>
      <c r="T73">
        <v>12</v>
      </c>
      <c r="U73" t="s">
        <v>112</v>
      </c>
      <c r="V73" t="s">
        <v>37</v>
      </c>
      <c r="W73">
        <v>450</v>
      </c>
      <c r="X73">
        <v>60</v>
      </c>
      <c r="Y73" t="s">
        <v>38</v>
      </c>
      <c r="Z73">
        <v>20</v>
      </c>
      <c r="AA73" t="s">
        <v>39</v>
      </c>
      <c r="AB73">
        <v>20</v>
      </c>
      <c r="AC73" t="s">
        <v>40</v>
      </c>
    </row>
    <row r="74" spans="1:29" x14ac:dyDescent="0.25">
      <c r="A74" t="s">
        <v>200</v>
      </c>
      <c r="B74" t="s">
        <v>29</v>
      </c>
      <c r="C74" t="s">
        <v>30</v>
      </c>
      <c r="D74" t="s">
        <v>30</v>
      </c>
      <c r="E74" t="s">
        <v>31</v>
      </c>
      <c r="F74">
        <v>2</v>
      </c>
      <c r="G74">
        <v>2</v>
      </c>
      <c r="H74" t="s">
        <v>60</v>
      </c>
      <c r="I74" t="s">
        <v>33</v>
      </c>
      <c r="J74" t="s">
        <v>34</v>
      </c>
      <c r="K74" s="1">
        <v>7.0699999999999999E-2</v>
      </c>
      <c r="L74" t="s">
        <v>30</v>
      </c>
      <c r="M74">
        <v>22</v>
      </c>
      <c r="N74" t="s">
        <v>50</v>
      </c>
      <c r="O74" t="s">
        <v>173</v>
      </c>
      <c r="P74">
        <v>0</v>
      </c>
      <c r="Q74">
        <v>100</v>
      </c>
      <c r="R74" t="s">
        <v>36</v>
      </c>
      <c r="S74">
        <v>12</v>
      </c>
      <c r="T74">
        <v>12</v>
      </c>
      <c r="U74" t="s">
        <v>112</v>
      </c>
      <c r="V74" t="s">
        <v>37</v>
      </c>
      <c r="W74">
        <v>450</v>
      </c>
      <c r="X74">
        <v>60</v>
      </c>
      <c r="Y74" t="s">
        <v>38</v>
      </c>
      <c r="Z74">
        <v>20</v>
      </c>
      <c r="AA74" t="s">
        <v>39</v>
      </c>
      <c r="AB74">
        <v>20</v>
      </c>
      <c r="AC74" t="s">
        <v>40</v>
      </c>
    </row>
    <row r="75" spans="1:29" x14ac:dyDescent="0.25">
      <c r="A75" t="s">
        <v>201</v>
      </c>
      <c r="B75" t="s">
        <v>29</v>
      </c>
      <c r="C75" t="s">
        <v>30</v>
      </c>
      <c r="D75" t="s">
        <v>30</v>
      </c>
      <c r="E75" t="s">
        <v>31</v>
      </c>
      <c r="F75">
        <v>2</v>
      </c>
      <c r="G75">
        <v>2</v>
      </c>
      <c r="H75" t="s">
        <v>61</v>
      </c>
      <c r="I75" t="s">
        <v>33</v>
      </c>
      <c r="J75" t="s">
        <v>34</v>
      </c>
      <c r="K75" s="1">
        <v>6.9800000000000001E-2</v>
      </c>
      <c r="L75" t="s">
        <v>30</v>
      </c>
      <c r="M75">
        <v>22</v>
      </c>
      <c r="N75" t="s">
        <v>90</v>
      </c>
      <c r="O75" t="s">
        <v>173</v>
      </c>
      <c r="P75">
        <v>0</v>
      </c>
      <c r="Q75">
        <v>100</v>
      </c>
      <c r="R75" t="s">
        <v>36</v>
      </c>
      <c r="S75">
        <v>12</v>
      </c>
      <c r="T75">
        <v>12</v>
      </c>
      <c r="U75" t="s">
        <v>112</v>
      </c>
      <c r="V75" t="s">
        <v>37</v>
      </c>
      <c r="W75">
        <v>450</v>
      </c>
      <c r="X75">
        <v>60</v>
      </c>
      <c r="Y75" t="s">
        <v>38</v>
      </c>
      <c r="Z75">
        <v>20</v>
      </c>
      <c r="AA75" t="s">
        <v>39</v>
      </c>
      <c r="AB75">
        <v>20</v>
      </c>
      <c r="AC75" t="s">
        <v>40</v>
      </c>
    </row>
    <row r="76" spans="1:29" x14ac:dyDescent="0.25">
      <c r="A76" t="s">
        <v>202</v>
      </c>
      <c r="B76" t="s">
        <v>29</v>
      </c>
      <c r="C76" t="s">
        <v>30</v>
      </c>
      <c r="D76" t="s">
        <v>30</v>
      </c>
      <c r="E76" t="s">
        <v>31</v>
      </c>
      <c r="F76">
        <v>2</v>
      </c>
      <c r="G76">
        <v>2</v>
      </c>
      <c r="H76" t="s">
        <v>62</v>
      </c>
      <c r="I76" t="s">
        <v>33</v>
      </c>
      <c r="J76" t="s">
        <v>34</v>
      </c>
      <c r="K76" s="1">
        <v>7.1400000000000005E-2</v>
      </c>
      <c r="L76" t="s">
        <v>30</v>
      </c>
      <c r="M76">
        <v>22</v>
      </c>
      <c r="N76" t="s">
        <v>52</v>
      </c>
      <c r="O76" t="s">
        <v>173</v>
      </c>
      <c r="P76">
        <v>0</v>
      </c>
      <c r="Q76">
        <v>100</v>
      </c>
      <c r="R76" t="s">
        <v>36</v>
      </c>
      <c r="S76">
        <v>12</v>
      </c>
      <c r="T76">
        <v>12</v>
      </c>
      <c r="U76" t="s">
        <v>112</v>
      </c>
      <c r="V76" t="s">
        <v>37</v>
      </c>
      <c r="W76">
        <v>450</v>
      </c>
      <c r="X76">
        <v>60</v>
      </c>
      <c r="Y76" t="s">
        <v>38</v>
      </c>
      <c r="Z76">
        <v>20</v>
      </c>
      <c r="AA76" t="s">
        <v>39</v>
      </c>
      <c r="AB76">
        <v>20</v>
      </c>
      <c r="AC76" t="s">
        <v>40</v>
      </c>
    </row>
    <row r="77" spans="1:29" x14ac:dyDescent="0.25">
      <c r="A77" t="s">
        <v>203</v>
      </c>
      <c r="B77" t="s">
        <v>29</v>
      </c>
      <c r="C77" t="s">
        <v>30</v>
      </c>
      <c r="D77" t="s">
        <v>30</v>
      </c>
      <c r="E77" t="s">
        <v>31</v>
      </c>
      <c r="F77">
        <v>2</v>
      </c>
      <c r="G77">
        <v>2</v>
      </c>
      <c r="H77" t="s">
        <v>63</v>
      </c>
      <c r="I77" t="s">
        <v>33</v>
      </c>
      <c r="J77" t="s">
        <v>34</v>
      </c>
      <c r="K77" s="1">
        <v>7.3999999999999996E-2</v>
      </c>
      <c r="L77" t="s">
        <v>30</v>
      </c>
      <c r="M77">
        <v>22</v>
      </c>
      <c r="N77" t="s">
        <v>92</v>
      </c>
      <c r="O77" t="s">
        <v>173</v>
      </c>
      <c r="P77">
        <v>0</v>
      </c>
      <c r="Q77">
        <v>100</v>
      </c>
      <c r="R77" t="s">
        <v>36</v>
      </c>
      <c r="S77">
        <v>12</v>
      </c>
      <c r="T77">
        <v>12</v>
      </c>
      <c r="U77" t="s">
        <v>112</v>
      </c>
      <c r="V77" t="s">
        <v>37</v>
      </c>
      <c r="W77">
        <v>450</v>
      </c>
      <c r="X77">
        <v>60</v>
      </c>
      <c r="Y77" t="s">
        <v>38</v>
      </c>
      <c r="Z77">
        <v>20</v>
      </c>
      <c r="AA77" t="s">
        <v>39</v>
      </c>
      <c r="AB77">
        <v>20</v>
      </c>
      <c r="AC77" t="s">
        <v>40</v>
      </c>
    </row>
    <row r="78" spans="1:29" x14ac:dyDescent="0.25">
      <c r="A78" t="s">
        <v>204</v>
      </c>
      <c r="B78" t="s">
        <v>29</v>
      </c>
      <c r="C78" t="s">
        <v>30</v>
      </c>
      <c r="D78" t="s">
        <v>30</v>
      </c>
      <c r="E78" t="s">
        <v>31</v>
      </c>
      <c r="F78">
        <v>2</v>
      </c>
      <c r="G78">
        <v>2</v>
      </c>
      <c r="H78" t="s">
        <v>64</v>
      </c>
      <c r="I78" t="s">
        <v>33</v>
      </c>
      <c r="J78" t="s">
        <v>34</v>
      </c>
      <c r="K78" s="1">
        <v>7.3099999999999998E-2</v>
      </c>
      <c r="L78" t="s">
        <v>30</v>
      </c>
      <c r="M78">
        <v>22</v>
      </c>
      <c r="N78" t="s">
        <v>54</v>
      </c>
      <c r="O78" t="s">
        <v>173</v>
      </c>
      <c r="P78">
        <v>0</v>
      </c>
      <c r="Q78">
        <v>100</v>
      </c>
      <c r="R78" t="s">
        <v>36</v>
      </c>
      <c r="S78">
        <v>12</v>
      </c>
      <c r="T78">
        <v>12</v>
      </c>
      <c r="U78" t="s">
        <v>112</v>
      </c>
      <c r="V78" t="s">
        <v>37</v>
      </c>
      <c r="W78">
        <v>450</v>
      </c>
      <c r="X78">
        <v>60</v>
      </c>
      <c r="Y78" t="s">
        <v>38</v>
      </c>
      <c r="Z78">
        <v>20</v>
      </c>
      <c r="AA78" t="s">
        <v>39</v>
      </c>
      <c r="AB78">
        <v>20</v>
      </c>
      <c r="AC78" t="s">
        <v>40</v>
      </c>
    </row>
    <row r="79" spans="1:29" x14ac:dyDescent="0.25">
      <c r="A79" t="s">
        <v>205</v>
      </c>
      <c r="B79" t="s">
        <v>29</v>
      </c>
      <c r="C79" t="s">
        <v>30</v>
      </c>
      <c r="D79" t="s">
        <v>30</v>
      </c>
      <c r="E79" t="s">
        <v>31</v>
      </c>
      <c r="F79">
        <v>2</v>
      </c>
      <c r="G79">
        <v>2</v>
      </c>
      <c r="H79" t="s">
        <v>65</v>
      </c>
      <c r="I79" t="s">
        <v>33</v>
      </c>
      <c r="J79" t="s">
        <v>34</v>
      </c>
      <c r="K79" s="1">
        <v>6.9199999999999998E-2</v>
      </c>
      <c r="L79" t="s">
        <v>30</v>
      </c>
      <c r="M79">
        <v>22</v>
      </c>
      <c r="N79" t="s">
        <v>94</v>
      </c>
      <c r="O79" t="s">
        <v>173</v>
      </c>
      <c r="P79">
        <v>0</v>
      </c>
      <c r="Q79">
        <v>100</v>
      </c>
      <c r="R79" t="s">
        <v>36</v>
      </c>
      <c r="S79">
        <v>12</v>
      </c>
      <c r="T79">
        <v>12</v>
      </c>
      <c r="U79" t="s">
        <v>112</v>
      </c>
      <c r="V79" t="s">
        <v>37</v>
      </c>
      <c r="W79">
        <v>450</v>
      </c>
      <c r="X79">
        <v>60</v>
      </c>
      <c r="Y79" t="s">
        <v>38</v>
      </c>
      <c r="Z79">
        <v>20</v>
      </c>
      <c r="AA79" t="s">
        <v>39</v>
      </c>
      <c r="AB79">
        <v>20</v>
      </c>
      <c r="AC79" t="s">
        <v>40</v>
      </c>
    </row>
    <row r="80" spans="1:29" x14ac:dyDescent="0.25">
      <c r="A80" t="s">
        <v>206</v>
      </c>
      <c r="B80" t="s">
        <v>29</v>
      </c>
      <c r="C80" t="s">
        <v>30</v>
      </c>
      <c r="D80" t="s">
        <v>30</v>
      </c>
      <c r="E80" t="s">
        <v>31</v>
      </c>
      <c r="F80">
        <v>2</v>
      </c>
      <c r="G80">
        <v>2</v>
      </c>
      <c r="H80" t="s">
        <v>66</v>
      </c>
      <c r="I80" t="s">
        <v>33</v>
      </c>
      <c r="J80" t="s">
        <v>34</v>
      </c>
      <c r="K80" s="1">
        <v>6.2E-2</v>
      </c>
      <c r="L80" t="s">
        <v>30</v>
      </c>
      <c r="M80">
        <v>22</v>
      </c>
      <c r="N80" t="s">
        <v>56</v>
      </c>
      <c r="O80" t="s">
        <v>173</v>
      </c>
      <c r="P80">
        <v>0</v>
      </c>
      <c r="Q80">
        <v>100</v>
      </c>
      <c r="R80" t="s">
        <v>36</v>
      </c>
      <c r="S80">
        <v>12</v>
      </c>
      <c r="T80">
        <v>12</v>
      </c>
      <c r="U80" t="s">
        <v>112</v>
      </c>
      <c r="V80" t="s">
        <v>37</v>
      </c>
      <c r="W80">
        <v>450</v>
      </c>
      <c r="X80">
        <v>60</v>
      </c>
      <c r="Y80" t="s">
        <v>38</v>
      </c>
      <c r="Z80">
        <v>20</v>
      </c>
      <c r="AA80" t="s">
        <v>39</v>
      </c>
      <c r="AB80">
        <v>20</v>
      </c>
      <c r="AC80" t="s">
        <v>40</v>
      </c>
    </row>
    <row r="81" spans="1:29" x14ac:dyDescent="0.25">
      <c r="A81" t="s">
        <v>207</v>
      </c>
      <c r="B81" t="s">
        <v>29</v>
      </c>
      <c r="C81" t="s">
        <v>30</v>
      </c>
      <c r="D81" t="s">
        <v>30</v>
      </c>
      <c r="E81" t="s">
        <v>31</v>
      </c>
      <c r="F81">
        <v>2</v>
      </c>
      <c r="G81">
        <v>2</v>
      </c>
      <c r="H81" t="s">
        <v>67</v>
      </c>
      <c r="I81" t="s">
        <v>33</v>
      </c>
      <c r="J81" t="s">
        <v>34</v>
      </c>
      <c r="K81" s="1">
        <v>6.2899999999999998E-2</v>
      </c>
      <c r="L81" t="s">
        <v>30</v>
      </c>
      <c r="M81">
        <v>22</v>
      </c>
      <c r="N81" t="s">
        <v>96</v>
      </c>
      <c r="O81" t="s">
        <v>173</v>
      </c>
      <c r="P81">
        <v>0</v>
      </c>
      <c r="Q81">
        <v>100</v>
      </c>
      <c r="R81" t="s">
        <v>36</v>
      </c>
      <c r="S81">
        <v>12</v>
      </c>
      <c r="T81">
        <v>12</v>
      </c>
      <c r="U81" t="s">
        <v>112</v>
      </c>
      <c r="V81" t="s">
        <v>37</v>
      </c>
      <c r="W81">
        <v>450</v>
      </c>
      <c r="X81">
        <v>60</v>
      </c>
      <c r="Y81" t="s">
        <v>38</v>
      </c>
      <c r="Z81">
        <v>20</v>
      </c>
      <c r="AA81" t="s">
        <v>39</v>
      </c>
      <c r="AB81">
        <v>20</v>
      </c>
      <c r="AC81" t="s">
        <v>40</v>
      </c>
    </row>
    <row r="82" spans="1:29" x14ac:dyDescent="0.25">
      <c r="A82" t="s">
        <v>208</v>
      </c>
      <c r="B82" t="s">
        <v>29</v>
      </c>
      <c r="C82" t="s">
        <v>30</v>
      </c>
      <c r="D82" t="s">
        <v>30</v>
      </c>
      <c r="E82" t="s">
        <v>31</v>
      </c>
      <c r="F82">
        <v>2</v>
      </c>
      <c r="G82">
        <v>2</v>
      </c>
      <c r="H82" t="s">
        <v>68</v>
      </c>
      <c r="I82" t="s">
        <v>33</v>
      </c>
      <c r="J82" t="s">
        <v>34</v>
      </c>
      <c r="K82" s="1">
        <v>6.5500000000000003E-2</v>
      </c>
      <c r="L82" t="s">
        <v>30</v>
      </c>
      <c r="M82">
        <v>22</v>
      </c>
      <c r="N82" t="s">
        <v>58</v>
      </c>
      <c r="O82" t="s">
        <v>173</v>
      </c>
      <c r="P82">
        <v>0</v>
      </c>
      <c r="Q82">
        <v>100</v>
      </c>
      <c r="R82" t="s">
        <v>36</v>
      </c>
      <c r="S82">
        <v>12</v>
      </c>
      <c r="T82">
        <v>12</v>
      </c>
      <c r="U82" t="s">
        <v>112</v>
      </c>
      <c r="V82" t="s">
        <v>37</v>
      </c>
      <c r="W82">
        <v>450</v>
      </c>
      <c r="X82">
        <v>60</v>
      </c>
      <c r="Y82" t="s">
        <v>38</v>
      </c>
      <c r="Z82">
        <v>20</v>
      </c>
      <c r="AA82" t="s">
        <v>39</v>
      </c>
      <c r="AB82">
        <v>20</v>
      </c>
      <c r="AC82" t="s">
        <v>40</v>
      </c>
    </row>
    <row r="83" spans="1:29" x14ac:dyDescent="0.25">
      <c r="A83" t="s">
        <v>209</v>
      </c>
      <c r="B83" t="s">
        <v>29</v>
      </c>
      <c r="C83" t="s">
        <v>30</v>
      </c>
      <c r="D83" t="s">
        <v>30</v>
      </c>
      <c r="E83" t="s">
        <v>31</v>
      </c>
      <c r="F83">
        <v>2</v>
      </c>
      <c r="G83">
        <v>2</v>
      </c>
      <c r="H83" t="s">
        <v>146</v>
      </c>
      <c r="I83" t="s">
        <v>33</v>
      </c>
      <c r="J83" t="s">
        <v>34</v>
      </c>
      <c r="K83" s="1">
        <v>6.8400000000000002E-2</v>
      </c>
      <c r="L83" t="s">
        <v>30</v>
      </c>
      <c r="M83">
        <v>22</v>
      </c>
      <c r="N83" t="s">
        <v>48</v>
      </c>
      <c r="O83" t="s">
        <v>173</v>
      </c>
      <c r="P83">
        <v>0</v>
      </c>
      <c r="Q83">
        <v>100</v>
      </c>
      <c r="R83" t="s">
        <v>36</v>
      </c>
      <c r="S83">
        <v>12</v>
      </c>
      <c r="T83">
        <v>12</v>
      </c>
      <c r="U83" t="s">
        <v>112</v>
      </c>
      <c r="V83" t="s">
        <v>37</v>
      </c>
      <c r="W83">
        <v>450</v>
      </c>
      <c r="X83">
        <v>60</v>
      </c>
      <c r="Y83" t="s">
        <v>38</v>
      </c>
      <c r="Z83">
        <v>20</v>
      </c>
      <c r="AA83" t="s">
        <v>39</v>
      </c>
      <c r="AB83">
        <v>20</v>
      </c>
      <c r="AC83" t="s">
        <v>40</v>
      </c>
    </row>
    <row r="84" spans="1:29" x14ac:dyDescent="0.25">
      <c r="A84" t="s">
        <v>210</v>
      </c>
      <c r="B84" t="s">
        <v>29</v>
      </c>
      <c r="C84" t="s">
        <v>30</v>
      </c>
      <c r="D84" t="s">
        <v>30</v>
      </c>
      <c r="E84" t="s">
        <v>31</v>
      </c>
      <c r="F84">
        <v>2</v>
      </c>
      <c r="G84">
        <v>2</v>
      </c>
      <c r="H84" t="s">
        <v>69</v>
      </c>
      <c r="I84" t="s">
        <v>33</v>
      </c>
      <c r="J84" t="s">
        <v>34</v>
      </c>
      <c r="K84" s="1">
        <v>7.2099999999999997E-2</v>
      </c>
      <c r="L84" t="s">
        <v>30</v>
      </c>
      <c r="M84">
        <v>22</v>
      </c>
      <c r="N84" t="s">
        <v>88</v>
      </c>
      <c r="O84" t="s">
        <v>173</v>
      </c>
      <c r="P84">
        <v>0</v>
      </c>
      <c r="Q84">
        <v>100</v>
      </c>
      <c r="R84" t="s">
        <v>36</v>
      </c>
      <c r="S84">
        <v>12</v>
      </c>
      <c r="T84">
        <v>12</v>
      </c>
      <c r="U84" t="s">
        <v>112</v>
      </c>
      <c r="V84" t="s">
        <v>37</v>
      </c>
      <c r="W84">
        <v>450</v>
      </c>
      <c r="X84">
        <v>60</v>
      </c>
      <c r="Y84" t="s">
        <v>38</v>
      </c>
      <c r="Z84">
        <v>20</v>
      </c>
      <c r="AA84" t="s">
        <v>39</v>
      </c>
      <c r="AB84">
        <v>20</v>
      </c>
      <c r="AC84" t="s">
        <v>40</v>
      </c>
    </row>
    <row r="85" spans="1:29" x14ac:dyDescent="0.25">
      <c r="A85" t="s">
        <v>211</v>
      </c>
      <c r="B85" t="s">
        <v>29</v>
      </c>
      <c r="C85" t="s">
        <v>30</v>
      </c>
      <c r="D85" t="s">
        <v>30</v>
      </c>
      <c r="E85" t="s">
        <v>31</v>
      </c>
      <c r="F85">
        <v>2</v>
      </c>
      <c r="G85">
        <v>2</v>
      </c>
      <c r="H85" t="s">
        <v>70</v>
      </c>
      <c r="I85" t="s">
        <v>33</v>
      </c>
      <c r="J85" t="s">
        <v>34</v>
      </c>
      <c r="K85" s="1">
        <v>7.2300000000000003E-2</v>
      </c>
      <c r="L85" t="s">
        <v>30</v>
      </c>
      <c r="M85">
        <v>22</v>
      </c>
      <c r="N85" t="s">
        <v>50</v>
      </c>
      <c r="O85" t="s">
        <v>173</v>
      </c>
      <c r="P85">
        <v>0</v>
      </c>
      <c r="Q85">
        <v>100</v>
      </c>
      <c r="R85" t="s">
        <v>36</v>
      </c>
      <c r="S85">
        <v>12</v>
      </c>
      <c r="T85">
        <v>12</v>
      </c>
      <c r="U85" t="s">
        <v>112</v>
      </c>
      <c r="V85" t="s">
        <v>37</v>
      </c>
      <c r="W85">
        <v>450</v>
      </c>
      <c r="X85">
        <v>60</v>
      </c>
      <c r="Y85" t="s">
        <v>38</v>
      </c>
      <c r="Z85">
        <v>20</v>
      </c>
      <c r="AA85" t="s">
        <v>39</v>
      </c>
      <c r="AB85">
        <v>20</v>
      </c>
      <c r="AC85" t="s">
        <v>40</v>
      </c>
    </row>
    <row r="86" spans="1:29" x14ac:dyDescent="0.25">
      <c r="A86" t="s">
        <v>212</v>
      </c>
      <c r="B86" t="s">
        <v>29</v>
      </c>
      <c r="C86" t="s">
        <v>30</v>
      </c>
      <c r="D86" t="s">
        <v>30</v>
      </c>
      <c r="E86" t="s">
        <v>31</v>
      </c>
      <c r="F86">
        <v>2</v>
      </c>
      <c r="G86">
        <v>2</v>
      </c>
      <c r="H86" t="s">
        <v>71</v>
      </c>
      <c r="I86" t="s">
        <v>33</v>
      </c>
      <c r="J86" t="s">
        <v>34</v>
      </c>
      <c r="K86" s="1">
        <v>7.3899999999999993E-2</v>
      </c>
      <c r="L86" t="s">
        <v>30</v>
      </c>
      <c r="M86">
        <v>22</v>
      </c>
      <c r="N86" t="s">
        <v>90</v>
      </c>
      <c r="O86" t="s">
        <v>173</v>
      </c>
      <c r="P86">
        <v>0</v>
      </c>
      <c r="Q86">
        <v>100</v>
      </c>
      <c r="R86" t="s">
        <v>36</v>
      </c>
      <c r="S86">
        <v>12</v>
      </c>
      <c r="T86">
        <v>12</v>
      </c>
      <c r="U86" t="s">
        <v>112</v>
      </c>
      <c r="V86" t="s">
        <v>37</v>
      </c>
      <c r="W86">
        <v>450</v>
      </c>
      <c r="X86">
        <v>60</v>
      </c>
      <c r="Y86" t="s">
        <v>38</v>
      </c>
      <c r="Z86">
        <v>20</v>
      </c>
      <c r="AA86" t="s">
        <v>39</v>
      </c>
      <c r="AB86">
        <v>20</v>
      </c>
      <c r="AC86" t="s">
        <v>40</v>
      </c>
    </row>
    <row r="87" spans="1:29" x14ac:dyDescent="0.25">
      <c r="A87" t="s">
        <v>213</v>
      </c>
      <c r="B87" t="s">
        <v>29</v>
      </c>
      <c r="C87" t="s">
        <v>30</v>
      </c>
      <c r="D87" t="s">
        <v>30</v>
      </c>
      <c r="E87" t="s">
        <v>31</v>
      </c>
      <c r="F87">
        <v>2</v>
      </c>
      <c r="G87">
        <v>2</v>
      </c>
      <c r="H87" t="s">
        <v>72</v>
      </c>
      <c r="I87" t="s">
        <v>33</v>
      </c>
      <c r="J87" t="s">
        <v>34</v>
      </c>
      <c r="K87" s="1">
        <v>7.17E-2</v>
      </c>
      <c r="L87" t="s">
        <v>30</v>
      </c>
      <c r="M87">
        <v>22</v>
      </c>
      <c r="N87" t="s">
        <v>52</v>
      </c>
      <c r="O87" t="s">
        <v>173</v>
      </c>
      <c r="P87">
        <v>0</v>
      </c>
      <c r="Q87">
        <v>100</v>
      </c>
      <c r="R87" t="s">
        <v>36</v>
      </c>
      <c r="S87">
        <v>12</v>
      </c>
      <c r="T87">
        <v>12</v>
      </c>
      <c r="U87" t="s">
        <v>112</v>
      </c>
      <c r="V87" t="s">
        <v>37</v>
      </c>
      <c r="W87">
        <v>450</v>
      </c>
      <c r="X87">
        <v>60</v>
      </c>
      <c r="Y87" t="s">
        <v>38</v>
      </c>
      <c r="Z87">
        <v>20</v>
      </c>
      <c r="AA87" t="s">
        <v>39</v>
      </c>
      <c r="AB87">
        <v>20</v>
      </c>
      <c r="AC87" t="s">
        <v>40</v>
      </c>
    </row>
    <row r="88" spans="1:29" x14ac:dyDescent="0.25">
      <c r="A88" t="s">
        <v>214</v>
      </c>
      <c r="B88" t="s">
        <v>29</v>
      </c>
      <c r="C88" t="s">
        <v>30</v>
      </c>
      <c r="D88" t="s">
        <v>30</v>
      </c>
      <c r="E88" t="s">
        <v>31</v>
      </c>
      <c r="F88">
        <v>2</v>
      </c>
      <c r="G88">
        <v>2</v>
      </c>
      <c r="H88" t="s">
        <v>73</v>
      </c>
      <c r="I88" t="s">
        <v>33</v>
      </c>
      <c r="J88" t="s">
        <v>34</v>
      </c>
      <c r="K88" s="1">
        <v>7.51E-2</v>
      </c>
      <c r="L88" t="s">
        <v>30</v>
      </c>
      <c r="M88">
        <v>22</v>
      </c>
      <c r="N88" t="s">
        <v>92</v>
      </c>
      <c r="O88" t="s">
        <v>173</v>
      </c>
      <c r="P88">
        <v>0</v>
      </c>
      <c r="Q88">
        <v>100</v>
      </c>
      <c r="R88" t="s">
        <v>36</v>
      </c>
      <c r="S88">
        <v>12</v>
      </c>
      <c r="T88">
        <v>12</v>
      </c>
      <c r="U88" t="s">
        <v>112</v>
      </c>
      <c r="V88" t="s">
        <v>37</v>
      </c>
      <c r="W88">
        <v>450</v>
      </c>
      <c r="X88">
        <v>60</v>
      </c>
      <c r="Y88" t="s">
        <v>38</v>
      </c>
      <c r="Z88">
        <v>20</v>
      </c>
      <c r="AA88" t="s">
        <v>39</v>
      </c>
      <c r="AB88">
        <v>20</v>
      </c>
      <c r="AC88" t="s">
        <v>40</v>
      </c>
    </row>
    <row r="89" spans="1:29" x14ac:dyDescent="0.25">
      <c r="A89" t="s">
        <v>215</v>
      </c>
      <c r="B89" t="s">
        <v>29</v>
      </c>
      <c r="C89" t="s">
        <v>30</v>
      </c>
      <c r="D89" t="s">
        <v>30</v>
      </c>
      <c r="E89" t="s">
        <v>31</v>
      </c>
      <c r="F89">
        <v>2</v>
      </c>
      <c r="G89">
        <v>2</v>
      </c>
      <c r="H89" t="s">
        <v>74</v>
      </c>
      <c r="I89" t="s">
        <v>33</v>
      </c>
      <c r="J89" t="s">
        <v>34</v>
      </c>
      <c r="K89" s="1">
        <v>7.3599999999999999E-2</v>
      </c>
      <c r="L89" t="s">
        <v>30</v>
      </c>
      <c r="M89">
        <v>22</v>
      </c>
      <c r="N89" t="s">
        <v>54</v>
      </c>
      <c r="O89" t="s">
        <v>173</v>
      </c>
      <c r="P89">
        <v>0</v>
      </c>
      <c r="Q89">
        <v>100</v>
      </c>
      <c r="R89" t="s">
        <v>36</v>
      </c>
      <c r="S89">
        <v>12</v>
      </c>
      <c r="T89">
        <v>12</v>
      </c>
      <c r="U89" t="s">
        <v>112</v>
      </c>
      <c r="V89" t="s">
        <v>37</v>
      </c>
      <c r="W89">
        <v>450</v>
      </c>
      <c r="X89">
        <v>60</v>
      </c>
      <c r="Y89" t="s">
        <v>38</v>
      </c>
      <c r="Z89">
        <v>20</v>
      </c>
      <c r="AA89" t="s">
        <v>39</v>
      </c>
      <c r="AB89">
        <v>20</v>
      </c>
      <c r="AC89" t="s">
        <v>40</v>
      </c>
    </row>
    <row r="90" spans="1:29" x14ac:dyDescent="0.25">
      <c r="A90" t="s">
        <v>216</v>
      </c>
      <c r="B90" t="s">
        <v>29</v>
      </c>
      <c r="C90" t="s">
        <v>30</v>
      </c>
      <c r="D90" t="s">
        <v>30</v>
      </c>
      <c r="E90" t="s">
        <v>31</v>
      </c>
      <c r="F90">
        <v>2</v>
      </c>
      <c r="G90">
        <v>2</v>
      </c>
      <c r="H90" t="s">
        <v>75</v>
      </c>
      <c r="I90" t="s">
        <v>33</v>
      </c>
      <c r="J90" t="s">
        <v>34</v>
      </c>
      <c r="K90" s="1">
        <v>6.8900000000000003E-2</v>
      </c>
      <c r="L90" t="s">
        <v>30</v>
      </c>
      <c r="M90">
        <v>22</v>
      </c>
      <c r="N90" t="s">
        <v>94</v>
      </c>
      <c r="O90" t="s">
        <v>173</v>
      </c>
      <c r="P90">
        <v>0</v>
      </c>
      <c r="Q90">
        <v>100</v>
      </c>
      <c r="R90" t="s">
        <v>36</v>
      </c>
      <c r="S90">
        <v>12</v>
      </c>
      <c r="T90">
        <v>12</v>
      </c>
      <c r="U90" t="s">
        <v>112</v>
      </c>
      <c r="V90" t="s">
        <v>37</v>
      </c>
      <c r="W90">
        <v>450</v>
      </c>
      <c r="X90">
        <v>60</v>
      </c>
      <c r="Y90" t="s">
        <v>38</v>
      </c>
      <c r="Z90">
        <v>20</v>
      </c>
      <c r="AA90" t="s">
        <v>39</v>
      </c>
      <c r="AB90">
        <v>20</v>
      </c>
      <c r="AC90" t="s">
        <v>40</v>
      </c>
    </row>
    <row r="91" spans="1:29" x14ac:dyDescent="0.25">
      <c r="A91" t="s">
        <v>217</v>
      </c>
      <c r="B91" t="s">
        <v>29</v>
      </c>
      <c r="C91" t="s">
        <v>30</v>
      </c>
      <c r="D91" t="s">
        <v>30</v>
      </c>
      <c r="E91" t="s">
        <v>31</v>
      </c>
      <c r="F91">
        <v>2</v>
      </c>
      <c r="G91">
        <v>2</v>
      </c>
      <c r="H91" t="s">
        <v>76</v>
      </c>
      <c r="I91" t="s">
        <v>33</v>
      </c>
      <c r="J91" t="s">
        <v>34</v>
      </c>
      <c r="K91" s="1">
        <v>6.7000000000000004E-2</v>
      </c>
      <c r="L91" t="s">
        <v>30</v>
      </c>
      <c r="M91">
        <v>22</v>
      </c>
      <c r="N91" t="s">
        <v>56</v>
      </c>
      <c r="O91" t="s">
        <v>173</v>
      </c>
      <c r="P91">
        <v>0</v>
      </c>
      <c r="Q91">
        <v>100</v>
      </c>
      <c r="R91" t="s">
        <v>36</v>
      </c>
      <c r="S91">
        <v>12</v>
      </c>
      <c r="T91">
        <v>12</v>
      </c>
      <c r="U91" t="s">
        <v>112</v>
      </c>
      <c r="V91" t="s">
        <v>37</v>
      </c>
      <c r="W91">
        <v>450</v>
      </c>
      <c r="X91">
        <v>60</v>
      </c>
      <c r="Y91" t="s">
        <v>38</v>
      </c>
      <c r="Z91">
        <v>20</v>
      </c>
      <c r="AA91" t="s">
        <v>39</v>
      </c>
      <c r="AB91">
        <v>20</v>
      </c>
      <c r="AC91" t="s">
        <v>40</v>
      </c>
    </row>
    <row r="92" spans="1:29" x14ac:dyDescent="0.25">
      <c r="A92" t="s">
        <v>218</v>
      </c>
      <c r="B92" t="s">
        <v>29</v>
      </c>
      <c r="C92" t="s">
        <v>30</v>
      </c>
      <c r="D92" t="s">
        <v>30</v>
      </c>
      <c r="E92" t="s">
        <v>31</v>
      </c>
      <c r="F92">
        <v>2</v>
      </c>
      <c r="G92">
        <v>2</v>
      </c>
      <c r="H92" t="s">
        <v>77</v>
      </c>
      <c r="I92" t="s">
        <v>33</v>
      </c>
      <c r="J92" t="s">
        <v>34</v>
      </c>
      <c r="K92" s="1">
        <v>6.5100000000000005E-2</v>
      </c>
      <c r="L92" t="s">
        <v>30</v>
      </c>
      <c r="M92">
        <v>22</v>
      </c>
      <c r="N92" t="s">
        <v>96</v>
      </c>
      <c r="O92" t="s">
        <v>173</v>
      </c>
      <c r="P92">
        <v>0</v>
      </c>
      <c r="Q92">
        <v>100</v>
      </c>
      <c r="R92" t="s">
        <v>36</v>
      </c>
      <c r="S92">
        <v>12</v>
      </c>
      <c r="T92">
        <v>12</v>
      </c>
      <c r="U92" t="s">
        <v>112</v>
      </c>
      <c r="V92" t="s">
        <v>37</v>
      </c>
      <c r="W92">
        <v>450</v>
      </c>
      <c r="X92">
        <v>60</v>
      </c>
      <c r="Y92" t="s">
        <v>38</v>
      </c>
      <c r="Z92">
        <v>20</v>
      </c>
      <c r="AA92" t="s">
        <v>39</v>
      </c>
      <c r="AB92">
        <v>20</v>
      </c>
      <c r="AC92" t="s">
        <v>40</v>
      </c>
    </row>
    <row r="93" spans="1:29" x14ac:dyDescent="0.25">
      <c r="A93" t="s">
        <v>219</v>
      </c>
      <c r="B93" t="s">
        <v>29</v>
      </c>
      <c r="C93" t="s">
        <v>30</v>
      </c>
      <c r="D93" t="s">
        <v>30</v>
      </c>
      <c r="E93" t="s">
        <v>31</v>
      </c>
      <c r="F93">
        <v>2</v>
      </c>
      <c r="G93">
        <v>2</v>
      </c>
      <c r="H93" t="s">
        <v>78</v>
      </c>
      <c r="I93" t="s">
        <v>33</v>
      </c>
      <c r="J93" t="s">
        <v>34</v>
      </c>
      <c r="K93" s="1">
        <v>6.4799999999999996E-2</v>
      </c>
      <c r="L93" t="s">
        <v>30</v>
      </c>
      <c r="M93">
        <v>22</v>
      </c>
      <c r="N93" t="s">
        <v>58</v>
      </c>
      <c r="O93" t="s">
        <v>173</v>
      </c>
      <c r="P93">
        <v>0</v>
      </c>
      <c r="Q93">
        <v>100</v>
      </c>
      <c r="R93" t="s">
        <v>36</v>
      </c>
      <c r="S93">
        <v>12</v>
      </c>
      <c r="T93">
        <v>12</v>
      </c>
      <c r="U93" t="s">
        <v>112</v>
      </c>
      <c r="V93" t="s">
        <v>37</v>
      </c>
      <c r="W93">
        <v>450</v>
      </c>
      <c r="X93">
        <v>60</v>
      </c>
      <c r="Y93" t="s">
        <v>38</v>
      </c>
      <c r="Z93">
        <v>20</v>
      </c>
      <c r="AA93" t="s">
        <v>39</v>
      </c>
      <c r="AB93">
        <v>20</v>
      </c>
      <c r="AC93" t="s">
        <v>40</v>
      </c>
    </row>
    <row r="94" spans="1:29" x14ac:dyDescent="0.25">
      <c r="A94" t="s">
        <v>220</v>
      </c>
      <c r="B94" t="s">
        <v>29</v>
      </c>
      <c r="C94" t="s">
        <v>30</v>
      </c>
      <c r="D94" t="s">
        <v>30</v>
      </c>
      <c r="E94" t="s">
        <v>31</v>
      </c>
      <c r="F94">
        <v>2</v>
      </c>
      <c r="G94">
        <v>2</v>
      </c>
      <c r="H94" t="s">
        <v>155</v>
      </c>
      <c r="I94" t="s">
        <v>33</v>
      </c>
      <c r="J94" t="s">
        <v>34</v>
      </c>
      <c r="K94" s="1">
        <v>8.0699999999999994E-2</v>
      </c>
      <c r="L94" t="s">
        <v>30</v>
      </c>
      <c r="M94">
        <v>22</v>
      </c>
      <c r="N94" t="s">
        <v>48</v>
      </c>
      <c r="O94" t="s">
        <v>173</v>
      </c>
      <c r="P94">
        <v>0</v>
      </c>
      <c r="Q94">
        <v>100</v>
      </c>
      <c r="R94" t="s">
        <v>36</v>
      </c>
      <c r="S94">
        <v>12</v>
      </c>
      <c r="T94">
        <v>12</v>
      </c>
      <c r="U94" t="s">
        <v>112</v>
      </c>
      <c r="V94" t="s">
        <v>37</v>
      </c>
      <c r="W94">
        <v>450</v>
      </c>
      <c r="X94">
        <v>60</v>
      </c>
      <c r="Y94" t="s">
        <v>38</v>
      </c>
      <c r="Z94">
        <v>20</v>
      </c>
      <c r="AA94" t="s">
        <v>39</v>
      </c>
      <c r="AB94">
        <v>20</v>
      </c>
      <c r="AC94" t="s">
        <v>40</v>
      </c>
    </row>
    <row r="95" spans="1:29" x14ac:dyDescent="0.25">
      <c r="A95" t="s">
        <v>221</v>
      </c>
      <c r="B95" t="s">
        <v>29</v>
      </c>
      <c r="C95" t="s">
        <v>30</v>
      </c>
      <c r="D95" t="s">
        <v>30</v>
      </c>
      <c r="E95" t="s">
        <v>31</v>
      </c>
      <c r="F95">
        <v>2</v>
      </c>
      <c r="G95">
        <v>2</v>
      </c>
      <c r="H95" t="s">
        <v>79</v>
      </c>
      <c r="I95" t="s">
        <v>33</v>
      </c>
      <c r="J95" t="s">
        <v>34</v>
      </c>
      <c r="K95" s="1">
        <v>7.6999999999999999E-2</v>
      </c>
      <c r="L95" t="s">
        <v>30</v>
      </c>
      <c r="M95">
        <v>22</v>
      </c>
      <c r="N95" t="s">
        <v>88</v>
      </c>
      <c r="O95" t="s">
        <v>173</v>
      </c>
      <c r="P95">
        <v>0</v>
      </c>
      <c r="Q95">
        <v>100</v>
      </c>
      <c r="R95" t="s">
        <v>36</v>
      </c>
      <c r="S95">
        <v>12</v>
      </c>
      <c r="T95">
        <v>12</v>
      </c>
      <c r="U95" t="s">
        <v>112</v>
      </c>
      <c r="V95" t="s">
        <v>37</v>
      </c>
      <c r="W95">
        <v>450</v>
      </c>
      <c r="X95">
        <v>60</v>
      </c>
      <c r="Y95" t="s">
        <v>38</v>
      </c>
      <c r="Z95">
        <v>20</v>
      </c>
      <c r="AA95" t="s">
        <v>39</v>
      </c>
      <c r="AB95">
        <v>20</v>
      </c>
      <c r="AC95" t="s">
        <v>40</v>
      </c>
    </row>
    <row r="96" spans="1:29" x14ac:dyDescent="0.25">
      <c r="A96" t="s">
        <v>222</v>
      </c>
      <c r="B96" t="s">
        <v>29</v>
      </c>
      <c r="C96" t="s">
        <v>30</v>
      </c>
      <c r="D96" t="s">
        <v>30</v>
      </c>
      <c r="E96" t="s">
        <v>31</v>
      </c>
      <c r="F96">
        <v>2</v>
      </c>
      <c r="G96">
        <v>2</v>
      </c>
      <c r="H96" t="s">
        <v>81</v>
      </c>
      <c r="I96" t="s">
        <v>33</v>
      </c>
      <c r="J96" t="s">
        <v>34</v>
      </c>
      <c r="K96" s="1">
        <v>7.1300000000000002E-2</v>
      </c>
      <c r="L96" t="s">
        <v>30</v>
      </c>
      <c r="M96">
        <v>22</v>
      </c>
      <c r="N96" t="s">
        <v>50</v>
      </c>
      <c r="O96" t="s">
        <v>173</v>
      </c>
      <c r="P96">
        <v>0</v>
      </c>
      <c r="Q96">
        <v>100</v>
      </c>
      <c r="R96" t="s">
        <v>36</v>
      </c>
      <c r="S96">
        <v>12</v>
      </c>
      <c r="T96">
        <v>12</v>
      </c>
      <c r="U96" t="s">
        <v>112</v>
      </c>
      <c r="V96" t="s">
        <v>37</v>
      </c>
      <c r="W96">
        <v>450</v>
      </c>
      <c r="X96">
        <v>60</v>
      </c>
      <c r="Y96" t="s">
        <v>38</v>
      </c>
      <c r="Z96">
        <v>20</v>
      </c>
      <c r="AA96" t="s">
        <v>39</v>
      </c>
      <c r="AB96">
        <v>20</v>
      </c>
      <c r="AC96" t="s">
        <v>40</v>
      </c>
    </row>
    <row r="97" spans="1:29" x14ac:dyDescent="0.25">
      <c r="A97" t="s">
        <v>223</v>
      </c>
      <c r="B97" t="s">
        <v>29</v>
      </c>
      <c r="C97" t="s">
        <v>30</v>
      </c>
      <c r="D97" t="s">
        <v>30</v>
      </c>
      <c r="E97" t="s">
        <v>31</v>
      </c>
      <c r="F97">
        <v>2</v>
      </c>
      <c r="G97">
        <v>2</v>
      </c>
      <c r="H97" t="s">
        <v>83</v>
      </c>
      <c r="I97" t="s">
        <v>33</v>
      </c>
      <c r="J97" t="s">
        <v>34</v>
      </c>
      <c r="K97" s="1">
        <v>7.4800000000000005E-2</v>
      </c>
      <c r="L97" t="s">
        <v>30</v>
      </c>
      <c r="M97">
        <v>22</v>
      </c>
      <c r="N97" t="s">
        <v>90</v>
      </c>
      <c r="O97" t="s">
        <v>173</v>
      </c>
      <c r="P97">
        <v>0</v>
      </c>
      <c r="Q97">
        <v>100</v>
      </c>
      <c r="R97" t="s">
        <v>36</v>
      </c>
      <c r="S97">
        <v>12</v>
      </c>
      <c r="T97">
        <v>12</v>
      </c>
      <c r="U97" t="s">
        <v>112</v>
      </c>
      <c r="V97" t="s">
        <v>37</v>
      </c>
      <c r="W97">
        <v>450</v>
      </c>
      <c r="X97">
        <v>60</v>
      </c>
      <c r="Y97" t="s">
        <v>38</v>
      </c>
      <c r="Z97">
        <v>20</v>
      </c>
      <c r="AA97" t="s">
        <v>39</v>
      </c>
      <c r="AB97">
        <v>20</v>
      </c>
      <c r="AC97" t="s">
        <v>40</v>
      </c>
    </row>
    <row r="98" spans="1:29" x14ac:dyDescent="0.25">
      <c r="A98" t="s">
        <v>224</v>
      </c>
      <c r="B98" t="s">
        <v>29</v>
      </c>
      <c r="C98" t="s">
        <v>30</v>
      </c>
      <c r="D98" t="s">
        <v>30</v>
      </c>
      <c r="E98" t="s">
        <v>31</v>
      </c>
      <c r="F98">
        <v>2</v>
      </c>
      <c r="G98">
        <v>2</v>
      </c>
      <c r="H98" t="s">
        <v>85</v>
      </c>
      <c r="I98" t="s">
        <v>33</v>
      </c>
      <c r="J98" t="s">
        <v>34</v>
      </c>
      <c r="K98" s="1">
        <v>7.1599999999999997E-2</v>
      </c>
      <c r="L98" t="s">
        <v>30</v>
      </c>
      <c r="M98">
        <v>22</v>
      </c>
      <c r="N98" t="s">
        <v>52</v>
      </c>
      <c r="O98" t="s">
        <v>173</v>
      </c>
      <c r="P98">
        <v>0</v>
      </c>
      <c r="Q98">
        <v>100</v>
      </c>
      <c r="R98" t="s">
        <v>36</v>
      </c>
      <c r="S98">
        <v>12</v>
      </c>
      <c r="T98">
        <v>12</v>
      </c>
      <c r="U98" t="s">
        <v>112</v>
      </c>
      <c r="V98" t="s">
        <v>37</v>
      </c>
      <c r="W98">
        <v>450</v>
      </c>
      <c r="X98">
        <v>60</v>
      </c>
      <c r="Y98" t="s">
        <v>38</v>
      </c>
      <c r="Z98">
        <v>20</v>
      </c>
      <c r="AA98" t="s">
        <v>39</v>
      </c>
      <c r="AB98">
        <v>20</v>
      </c>
      <c r="AC98" t="s">
        <v>40</v>
      </c>
    </row>
    <row r="99" spans="1:29" x14ac:dyDescent="0.25">
      <c r="A99" t="s">
        <v>225</v>
      </c>
      <c r="B99" t="s">
        <v>29</v>
      </c>
      <c r="C99" t="s">
        <v>30</v>
      </c>
      <c r="D99" t="s">
        <v>30</v>
      </c>
      <c r="E99" t="s">
        <v>31</v>
      </c>
      <c r="F99">
        <v>2</v>
      </c>
      <c r="G99">
        <v>2</v>
      </c>
      <c r="H99" t="s">
        <v>87</v>
      </c>
      <c r="I99" t="s">
        <v>33</v>
      </c>
      <c r="J99" t="s">
        <v>34</v>
      </c>
      <c r="K99" s="1">
        <v>7.2300000000000003E-2</v>
      </c>
      <c r="L99" t="s">
        <v>30</v>
      </c>
      <c r="M99">
        <v>22</v>
      </c>
      <c r="N99" t="s">
        <v>92</v>
      </c>
      <c r="O99" t="s">
        <v>173</v>
      </c>
      <c r="P99">
        <v>0</v>
      </c>
      <c r="Q99">
        <v>100</v>
      </c>
      <c r="R99" t="s">
        <v>36</v>
      </c>
      <c r="S99">
        <v>12</v>
      </c>
      <c r="T99">
        <v>12</v>
      </c>
      <c r="U99" t="s">
        <v>112</v>
      </c>
      <c r="V99" t="s">
        <v>37</v>
      </c>
      <c r="W99">
        <v>450</v>
      </c>
      <c r="X99">
        <v>60</v>
      </c>
      <c r="Y99" t="s">
        <v>38</v>
      </c>
      <c r="Z99">
        <v>20</v>
      </c>
      <c r="AA99" t="s">
        <v>39</v>
      </c>
      <c r="AB99">
        <v>20</v>
      </c>
      <c r="AC99" t="s">
        <v>40</v>
      </c>
    </row>
    <row r="100" spans="1:29" x14ac:dyDescent="0.25">
      <c r="A100" t="s">
        <v>226</v>
      </c>
      <c r="B100" t="s">
        <v>29</v>
      </c>
      <c r="C100" t="s">
        <v>30</v>
      </c>
      <c r="D100" t="s">
        <v>30</v>
      </c>
      <c r="E100" t="s">
        <v>31</v>
      </c>
      <c r="F100">
        <v>2</v>
      </c>
      <c r="G100">
        <v>2</v>
      </c>
      <c r="H100" t="s">
        <v>89</v>
      </c>
      <c r="I100" t="s">
        <v>33</v>
      </c>
      <c r="J100" t="s">
        <v>34</v>
      </c>
      <c r="K100" s="1">
        <v>7.1400000000000005E-2</v>
      </c>
      <c r="L100" t="s">
        <v>30</v>
      </c>
      <c r="M100">
        <v>22</v>
      </c>
      <c r="N100" t="s">
        <v>54</v>
      </c>
      <c r="O100" t="s">
        <v>173</v>
      </c>
      <c r="P100">
        <v>0</v>
      </c>
      <c r="Q100">
        <v>100</v>
      </c>
      <c r="R100" t="s">
        <v>36</v>
      </c>
      <c r="S100">
        <v>12</v>
      </c>
      <c r="T100">
        <v>12</v>
      </c>
      <c r="U100" t="s">
        <v>112</v>
      </c>
      <c r="V100" t="s">
        <v>37</v>
      </c>
      <c r="W100">
        <v>450</v>
      </c>
      <c r="X100">
        <v>60</v>
      </c>
      <c r="Y100" t="s">
        <v>38</v>
      </c>
      <c r="Z100">
        <v>20</v>
      </c>
      <c r="AA100" t="s">
        <v>39</v>
      </c>
      <c r="AB100">
        <v>20</v>
      </c>
      <c r="AC100" t="s">
        <v>40</v>
      </c>
    </row>
    <row r="101" spans="1:29" x14ac:dyDescent="0.25">
      <c r="A101" t="s">
        <v>227</v>
      </c>
      <c r="B101" t="s">
        <v>29</v>
      </c>
      <c r="C101" t="s">
        <v>30</v>
      </c>
      <c r="D101" t="s">
        <v>30</v>
      </c>
      <c r="E101" t="s">
        <v>31</v>
      </c>
      <c r="F101">
        <v>2</v>
      </c>
      <c r="G101">
        <v>2</v>
      </c>
      <c r="H101" t="s">
        <v>91</v>
      </c>
      <c r="I101" t="s">
        <v>33</v>
      </c>
      <c r="J101" t="s">
        <v>34</v>
      </c>
      <c r="K101" s="1">
        <v>7.2099999999999997E-2</v>
      </c>
      <c r="L101" t="s">
        <v>30</v>
      </c>
      <c r="M101">
        <v>22</v>
      </c>
      <c r="N101" t="s">
        <v>94</v>
      </c>
      <c r="O101" t="s">
        <v>173</v>
      </c>
      <c r="P101">
        <v>0</v>
      </c>
      <c r="Q101">
        <v>100</v>
      </c>
      <c r="R101" t="s">
        <v>36</v>
      </c>
      <c r="S101">
        <v>12</v>
      </c>
      <c r="T101">
        <v>12</v>
      </c>
      <c r="U101" t="s">
        <v>112</v>
      </c>
      <c r="V101" t="s">
        <v>37</v>
      </c>
      <c r="W101">
        <v>450</v>
      </c>
      <c r="X101">
        <v>60</v>
      </c>
      <c r="Y101" t="s">
        <v>38</v>
      </c>
      <c r="Z101">
        <v>20</v>
      </c>
      <c r="AA101" t="s">
        <v>39</v>
      </c>
      <c r="AB101">
        <v>20</v>
      </c>
      <c r="AC101" t="s">
        <v>40</v>
      </c>
    </row>
    <row r="102" spans="1:29" x14ac:dyDescent="0.25">
      <c r="A102" t="s">
        <v>228</v>
      </c>
      <c r="B102" t="s">
        <v>29</v>
      </c>
      <c r="C102" t="s">
        <v>30</v>
      </c>
      <c r="D102" t="s">
        <v>30</v>
      </c>
      <c r="E102" t="s">
        <v>31</v>
      </c>
      <c r="F102">
        <v>2</v>
      </c>
      <c r="G102">
        <v>2</v>
      </c>
      <c r="H102" t="s">
        <v>93</v>
      </c>
      <c r="I102" t="s">
        <v>33</v>
      </c>
      <c r="J102" t="s">
        <v>34</v>
      </c>
      <c r="K102" s="1">
        <v>6.8199999999999997E-2</v>
      </c>
      <c r="L102" t="s">
        <v>30</v>
      </c>
      <c r="M102">
        <v>22</v>
      </c>
      <c r="N102" t="s">
        <v>56</v>
      </c>
      <c r="O102" t="s">
        <v>173</v>
      </c>
      <c r="P102">
        <v>0</v>
      </c>
      <c r="Q102">
        <v>100</v>
      </c>
      <c r="R102" t="s">
        <v>36</v>
      </c>
      <c r="S102">
        <v>12</v>
      </c>
      <c r="T102">
        <v>12</v>
      </c>
      <c r="U102" t="s">
        <v>112</v>
      </c>
      <c r="V102" t="s">
        <v>37</v>
      </c>
      <c r="W102">
        <v>450</v>
      </c>
      <c r="X102">
        <v>60</v>
      </c>
      <c r="Y102" t="s">
        <v>38</v>
      </c>
      <c r="Z102">
        <v>20</v>
      </c>
      <c r="AA102" t="s">
        <v>39</v>
      </c>
      <c r="AB102">
        <v>20</v>
      </c>
      <c r="AC102" t="s">
        <v>40</v>
      </c>
    </row>
    <row r="103" spans="1:29" x14ac:dyDescent="0.25">
      <c r="A103" t="s">
        <v>229</v>
      </c>
      <c r="B103" t="s">
        <v>29</v>
      </c>
      <c r="C103" t="s">
        <v>30</v>
      </c>
      <c r="D103" t="s">
        <v>30</v>
      </c>
      <c r="E103" t="s">
        <v>31</v>
      </c>
      <c r="F103">
        <v>2</v>
      </c>
      <c r="G103">
        <v>2</v>
      </c>
      <c r="H103" t="s">
        <v>95</v>
      </c>
      <c r="I103" t="s">
        <v>33</v>
      </c>
      <c r="J103" t="s">
        <v>34</v>
      </c>
      <c r="K103" s="1">
        <v>6.5100000000000005E-2</v>
      </c>
      <c r="L103" t="s">
        <v>30</v>
      </c>
      <c r="M103">
        <v>22</v>
      </c>
      <c r="N103" t="s">
        <v>96</v>
      </c>
      <c r="O103" t="s">
        <v>173</v>
      </c>
      <c r="P103">
        <v>0</v>
      </c>
      <c r="Q103">
        <v>100</v>
      </c>
      <c r="R103" t="s">
        <v>36</v>
      </c>
      <c r="S103">
        <v>12</v>
      </c>
      <c r="T103">
        <v>12</v>
      </c>
      <c r="U103" t="s">
        <v>112</v>
      </c>
      <c r="V103" t="s">
        <v>37</v>
      </c>
      <c r="W103">
        <v>450</v>
      </c>
      <c r="X103">
        <v>60</v>
      </c>
      <c r="Y103" t="s">
        <v>38</v>
      </c>
      <c r="Z103">
        <v>20</v>
      </c>
      <c r="AA103" t="s">
        <v>39</v>
      </c>
      <c r="AB103">
        <v>20</v>
      </c>
      <c r="AC103" t="s">
        <v>40</v>
      </c>
    </row>
    <row r="104" spans="1:29" x14ac:dyDescent="0.25">
      <c r="A104" t="s">
        <v>230</v>
      </c>
      <c r="B104" t="s">
        <v>29</v>
      </c>
      <c r="C104" t="s">
        <v>30</v>
      </c>
      <c r="D104" t="s">
        <v>30</v>
      </c>
      <c r="E104" t="s">
        <v>31</v>
      </c>
      <c r="F104">
        <v>2</v>
      </c>
      <c r="G104">
        <v>2</v>
      </c>
      <c r="H104" t="s">
        <v>97</v>
      </c>
      <c r="I104" t="s">
        <v>33</v>
      </c>
      <c r="J104" t="s">
        <v>34</v>
      </c>
      <c r="K104" s="1">
        <v>6.5600000000000006E-2</v>
      </c>
      <c r="L104" t="s">
        <v>30</v>
      </c>
      <c r="M104">
        <v>22</v>
      </c>
      <c r="N104" t="s">
        <v>58</v>
      </c>
      <c r="O104" t="s">
        <v>173</v>
      </c>
      <c r="P104">
        <v>0</v>
      </c>
      <c r="Q104">
        <v>100</v>
      </c>
      <c r="R104" t="s">
        <v>36</v>
      </c>
      <c r="S104">
        <v>12</v>
      </c>
      <c r="T104">
        <v>12</v>
      </c>
      <c r="U104" t="s">
        <v>112</v>
      </c>
      <c r="V104" t="s">
        <v>37</v>
      </c>
      <c r="W104">
        <v>450</v>
      </c>
      <c r="X104">
        <v>60</v>
      </c>
      <c r="Y104" t="s">
        <v>38</v>
      </c>
      <c r="Z104">
        <v>20</v>
      </c>
      <c r="AA104" t="s">
        <v>39</v>
      </c>
      <c r="AB104">
        <v>20</v>
      </c>
      <c r="AC104" t="s">
        <v>40</v>
      </c>
    </row>
    <row r="105" spans="1:29" x14ac:dyDescent="0.25">
      <c r="A105" t="s">
        <v>231</v>
      </c>
      <c r="B105" t="s">
        <v>29</v>
      </c>
      <c r="C105" t="s">
        <v>30</v>
      </c>
      <c r="D105" t="s">
        <v>30</v>
      </c>
      <c r="E105" t="s">
        <v>31</v>
      </c>
      <c r="F105">
        <v>2</v>
      </c>
      <c r="G105">
        <v>2</v>
      </c>
      <c r="H105" t="s">
        <v>164</v>
      </c>
      <c r="I105" t="s">
        <v>33</v>
      </c>
      <c r="J105" t="s">
        <v>34</v>
      </c>
      <c r="K105" s="1">
        <v>6.9599999999999995E-2</v>
      </c>
      <c r="L105" t="s">
        <v>30</v>
      </c>
      <c r="M105">
        <v>22</v>
      </c>
      <c r="N105" t="s">
        <v>48</v>
      </c>
      <c r="O105" t="s">
        <v>173</v>
      </c>
      <c r="P105">
        <v>0</v>
      </c>
      <c r="Q105">
        <v>100</v>
      </c>
      <c r="R105" t="s">
        <v>36</v>
      </c>
      <c r="S105">
        <v>12</v>
      </c>
      <c r="T105">
        <v>12</v>
      </c>
      <c r="U105" t="s">
        <v>112</v>
      </c>
      <c r="V105" t="s">
        <v>37</v>
      </c>
      <c r="W105">
        <v>450</v>
      </c>
      <c r="X105">
        <v>60</v>
      </c>
      <c r="Y105" t="s">
        <v>38</v>
      </c>
      <c r="Z105">
        <v>20</v>
      </c>
      <c r="AA105" t="s">
        <v>39</v>
      </c>
      <c r="AB105">
        <v>20</v>
      </c>
      <c r="AC105" t="s">
        <v>40</v>
      </c>
    </row>
    <row r="106" spans="1:29" x14ac:dyDescent="0.25">
      <c r="A106" t="s">
        <v>232</v>
      </c>
      <c r="B106" t="s">
        <v>29</v>
      </c>
      <c r="C106" t="s">
        <v>30</v>
      </c>
      <c r="D106" t="s">
        <v>30</v>
      </c>
      <c r="E106" t="s">
        <v>31</v>
      </c>
      <c r="F106">
        <v>2</v>
      </c>
      <c r="G106">
        <v>2</v>
      </c>
      <c r="H106" t="s">
        <v>98</v>
      </c>
      <c r="I106" t="s">
        <v>33</v>
      </c>
      <c r="J106" t="s">
        <v>34</v>
      </c>
      <c r="K106" s="1">
        <v>7.1800000000000003E-2</v>
      </c>
      <c r="L106" t="s">
        <v>30</v>
      </c>
      <c r="M106">
        <v>22</v>
      </c>
      <c r="N106" t="s">
        <v>88</v>
      </c>
      <c r="O106" t="s">
        <v>173</v>
      </c>
      <c r="P106">
        <v>0</v>
      </c>
      <c r="Q106">
        <v>100</v>
      </c>
      <c r="R106" t="s">
        <v>36</v>
      </c>
      <c r="S106">
        <v>12</v>
      </c>
      <c r="T106">
        <v>12</v>
      </c>
      <c r="U106" t="s">
        <v>112</v>
      </c>
      <c r="V106" t="s">
        <v>37</v>
      </c>
      <c r="W106">
        <v>450</v>
      </c>
      <c r="X106">
        <v>60</v>
      </c>
      <c r="Y106" t="s">
        <v>38</v>
      </c>
      <c r="Z106">
        <v>20</v>
      </c>
      <c r="AA106" t="s">
        <v>39</v>
      </c>
      <c r="AB106">
        <v>20</v>
      </c>
      <c r="AC106" t="s">
        <v>40</v>
      </c>
    </row>
    <row r="107" spans="1:29" x14ac:dyDescent="0.25">
      <c r="A107" t="s">
        <v>233</v>
      </c>
      <c r="B107" t="s">
        <v>29</v>
      </c>
      <c r="C107" t="s">
        <v>30</v>
      </c>
      <c r="D107" t="s">
        <v>30</v>
      </c>
      <c r="E107" t="s">
        <v>31</v>
      </c>
      <c r="F107">
        <v>2</v>
      </c>
      <c r="G107">
        <v>2</v>
      </c>
      <c r="H107" t="s">
        <v>99</v>
      </c>
      <c r="I107" t="s">
        <v>33</v>
      </c>
      <c r="J107" t="s">
        <v>34</v>
      </c>
      <c r="K107" s="1">
        <v>7.4800000000000005E-2</v>
      </c>
      <c r="L107" t="s">
        <v>30</v>
      </c>
      <c r="M107">
        <v>22</v>
      </c>
      <c r="N107" t="s">
        <v>50</v>
      </c>
      <c r="O107" t="s">
        <v>173</v>
      </c>
      <c r="P107">
        <v>0</v>
      </c>
      <c r="Q107">
        <v>100</v>
      </c>
      <c r="R107" t="s">
        <v>36</v>
      </c>
      <c r="S107">
        <v>12</v>
      </c>
      <c r="T107">
        <v>12</v>
      </c>
      <c r="U107" t="s">
        <v>112</v>
      </c>
      <c r="V107" t="s">
        <v>37</v>
      </c>
      <c r="W107">
        <v>450</v>
      </c>
      <c r="X107">
        <v>60</v>
      </c>
      <c r="Y107" t="s">
        <v>38</v>
      </c>
      <c r="Z107">
        <v>20</v>
      </c>
      <c r="AA107" t="s">
        <v>39</v>
      </c>
      <c r="AB107">
        <v>20</v>
      </c>
      <c r="AC107" t="s">
        <v>40</v>
      </c>
    </row>
    <row r="108" spans="1:29" x14ac:dyDescent="0.25">
      <c r="A108" t="s">
        <v>234</v>
      </c>
      <c r="B108" t="s">
        <v>29</v>
      </c>
      <c r="C108" t="s">
        <v>30</v>
      </c>
      <c r="D108" t="s">
        <v>30</v>
      </c>
      <c r="E108" t="s">
        <v>31</v>
      </c>
      <c r="F108">
        <v>2</v>
      </c>
      <c r="G108">
        <v>2</v>
      </c>
      <c r="H108" t="s">
        <v>100</v>
      </c>
      <c r="I108" t="s">
        <v>33</v>
      </c>
      <c r="J108" t="s">
        <v>34</v>
      </c>
      <c r="K108" s="1">
        <v>7.2900000000000006E-2</v>
      </c>
      <c r="L108" t="s">
        <v>30</v>
      </c>
      <c r="M108">
        <v>22</v>
      </c>
      <c r="N108" t="s">
        <v>90</v>
      </c>
      <c r="O108" t="s">
        <v>173</v>
      </c>
      <c r="P108">
        <v>0</v>
      </c>
      <c r="Q108">
        <v>100</v>
      </c>
      <c r="R108" t="s">
        <v>36</v>
      </c>
      <c r="S108">
        <v>12</v>
      </c>
      <c r="T108">
        <v>12</v>
      </c>
      <c r="U108" t="s">
        <v>112</v>
      </c>
      <c r="V108" t="s">
        <v>37</v>
      </c>
      <c r="W108">
        <v>450</v>
      </c>
      <c r="X108">
        <v>60</v>
      </c>
      <c r="Y108" t="s">
        <v>38</v>
      </c>
      <c r="Z108">
        <v>20</v>
      </c>
      <c r="AA108" t="s">
        <v>39</v>
      </c>
      <c r="AB108">
        <v>20</v>
      </c>
      <c r="AC108" t="s">
        <v>40</v>
      </c>
    </row>
    <row r="109" spans="1:29" x14ac:dyDescent="0.25">
      <c r="A109" t="s">
        <v>235</v>
      </c>
      <c r="B109" t="s">
        <v>29</v>
      </c>
      <c r="C109" t="s">
        <v>30</v>
      </c>
      <c r="D109" t="s">
        <v>30</v>
      </c>
      <c r="E109" t="s">
        <v>31</v>
      </c>
      <c r="F109">
        <v>2</v>
      </c>
      <c r="G109">
        <v>2</v>
      </c>
      <c r="H109" t="s">
        <v>101</v>
      </c>
      <c r="I109" t="s">
        <v>33</v>
      </c>
      <c r="J109" t="s">
        <v>34</v>
      </c>
      <c r="K109" s="1">
        <v>7.1599999999999997E-2</v>
      </c>
      <c r="L109" t="s">
        <v>30</v>
      </c>
      <c r="M109">
        <v>22</v>
      </c>
      <c r="N109" t="s">
        <v>52</v>
      </c>
      <c r="O109" t="s">
        <v>173</v>
      </c>
      <c r="P109">
        <v>0</v>
      </c>
      <c r="Q109">
        <v>100</v>
      </c>
      <c r="R109" t="s">
        <v>36</v>
      </c>
      <c r="S109">
        <v>12</v>
      </c>
      <c r="T109">
        <v>12</v>
      </c>
      <c r="U109" t="s">
        <v>112</v>
      </c>
      <c r="V109" t="s">
        <v>37</v>
      </c>
      <c r="W109">
        <v>450</v>
      </c>
      <c r="X109">
        <v>60</v>
      </c>
      <c r="Y109" t="s">
        <v>38</v>
      </c>
      <c r="Z109">
        <v>20</v>
      </c>
      <c r="AA109" t="s">
        <v>39</v>
      </c>
      <c r="AB109">
        <v>20</v>
      </c>
      <c r="AC109" t="s">
        <v>40</v>
      </c>
    </row>
    <row r="110" spans="1:29" x14ac:dyDescent="0.25">
      <c r="A110" t="s">
        <v>236</v>
      </c>
      <c r="B110" t="s">
        <v>29</v>
      </c>
      <c r="C110" t="s">
        <v>30</v>
      </c>
      <c r="D110" t="s">
        <v>30</v>
      </c>
      <c r="E110" t="s">
        <v>31</v>
      </c>
      <c r="F110">
        <v>2</v>
      </c>
      <c r="G110">
        <v>2</v>
      </c>
      <c r="H110" t="s">
        <v>102</v>
      </c>
      <c r="I110" t="s">
        <v>33</v>
      </c>
      <c r="J110" t="s">
        <v>34</v>
      </c>
      <c r="K110" s="1">
        <v>7.22E-2</v>
      </c>
      <c r="L110" t="s">
        <v>30</v>
      </c>
      <c r="M110">
        <v>22</v>
      </c>
      <c r="N110" t="s">
        <v>92</v>
      </c>
      <c r="O110" t="s">
        <v>173</v>
      </c>
      <c r="P110">
        <v>0</v>
      </c>
      <c r="Q110">
        <v>100</v>
      </c>
      <c r="R110" t="s">
        <v>36</v>
      </c>
      <c r="S110">
        <v>12</v>
      </c>
      <c r="T110">
        <v>12</v>
      </c>
      <c r="U110" t="s">
        <v>112</v>
      </c>
      <c r="V110" t="s">
        <v>37</v>
      </c>
      <c r="W110">
        <v>450</v>
      </c>
      <c r="X110">
        <v>60</v>
      </c>
      <c r="Y110" t="s">
        <v>38</v>
      </c>
      <c r="Z110">
        <v>20</v>
      </c>
      <c r="AA110" t="s">
        <v>39</v>
      </c>
      <c r="AB110">
        <v>20</v>
      </c>
      <c r="AC110" t="s">
        <v>40</v>
      </c>
    </row>
    <row r="111" spans="1:29" x14ac:dyDescent="0.25">
      <c r="A111" t="s">
        <v>237</v>
      </c>
      <c r="B111" t="s">
        <v>29</v>
      </c>
      <c r="C111" t="s">
        <v>30</v>
      </c>
      <c r="D111" t="s">
        <v>30</v>
      </c>
      <c r="E111" t="s">
        <v>31</v>
      </c>
      <c r="F111">
        <v>2</v>
      </c>
      <c r="G111">
        <v>2</v>
      </c>
      <c r="H111" t="s">
        <v>103</v>
      </c>
      <c r="I111" t="s">
        <v>33</v>
      </c>
      <c r="J111" t="s">
        <v>34</v>
      </c>
      <c r="K111" s="1">
        <v>7.51E-2</v>
      </c>
      <c r="L111" t="s">
        <v>30</v>
      </c>
      <c r="M111">
        <v>22</v>
      </c>
      <c r="N111" t="s">
        <v>54</v>
      </c>
      <c r="O111" t="s">
        <v>173</v>
      </c>
      <c r="P111">
        <v>0</v>
      </c>
      <c r="Q111">
        <v>100</v>
      </c>
      <c r="R111" t="s">
        <v>36</v>
      </c>
      <c r="S111">
        <v>12</v>
      </c>
      <c r="T111">
        <v>12</v>
      </c>
      <c r="U111" t="s">
        <v>112</v>
      </c>
      <c r="V111" t="s">
        <v>37</v>
      </c>
      <c r="W111">
        <v>450</v>
      </c>
      <c r="X111">
        <v>60</v>
      </c>
      <c r="Y111" t="s">
        <v>38</v>
      </c>
      <c r="Z111">
        <v>20</v>
      </c>
      <c r="AA111" t="s">
        <v>39</v>
      </c>
      <c r="AB111">
        <v>20</v>
      </c>
      <c r="AC111" t="s">
        <v>40</v>
      </c>
    </row>
    <row r="112" spans="1:29" x14ac:dyDescent="0.25">
      <c r="A112" t="s">
        <v>238</v>
      </c>
      <c r="B112" t="s">
        <v>29</v>
      </c>
      <c r="C112" t="s">
        <v>30</v>
      </c>
      <c r="D112" t="s">
        <v>30</v>
      </c>
      <c r="E112" t="s">
        <v>31</v>
      </c>
      <c r="F112">
        <v>2</v>
      </c>
      <c r="G112">
        <v>2</v>
      </c>
      <c r="H112" t="s">
        <v>104</v>
      </c>
      <c r="I112" t="s">
        <v>33</v>
      </c>
      <c r="J112" t="s">
        <v>34</v>
      </c>
      <c r="K112" s="1">
        <v>6.9400000000000003E-2</v>
      </c>
      <c r="L112" t="s">
        <v>30</v>
      </c>
      <c r="M112">
        <v>22</v>
      </c>
      <c r="N112" t="s">
        <v>94</v>
      </c>
      <c r="O112" t="s">
        <v>173</v>
      </c>
      <c r="P112">
        <v>0</v>
      </c>
      <c r="Q112">
        <v>100</v>
      </c>
      <c r="R112" t="s">
        <v>36</v>
      </c>
      <c r="S112">
        <v>12</v>
      </c>
      <c r="T112">
        <v>12</v>
      </c>
      <c r="U112" t="s">
        <v>112</v>
      </c>
      <c r="V112" t="s">
        <v>37</v>
      </c>
      <c r="W112">
        <v>450</v>
      </c>
      <c r="X112">
        <v>60</v>
      </c>
      <c r="Y112" t="s">
        <v>38</v>
      </c>
      <c r="Z112">
        <v>20</v>
      </c>
      <c r="AA112" t="s">
        <v>39</v>
      </c>
      <c r="AB112">
        <v>20</v>
      </c>
      <c r="AC112" t="s">
        <v>40</v>
      </c>
    </row>
    <row r="113" spans="1:29" x14ac:dyDescent="0.25">
      <c r="A113" t="s">
        <v>239</v>
      </c>
      <c r="B113" t="s">
        <v>29</v>
      </c>
      <c r="C113" t="s">
        <v>30</v>
      </c>
      <c r="D113" t="s">
        <v>30</v>
      </c>
      <c r="E113" t="s">
        <v>31</v>
      </c>
      <c r="F113">
        <v>2</v>
      </c>
      <c r="G113">
        <v>2</v>
      </c>
      <c r="H113" t="s">
        <v>105</v>
      </c>
      <c r="I113" t="s">
        <v>33</v>
      </c>
      <c r="J113" t="s">
        <v>34</v>
      </c>
      <c r="K113" s="1">
        <v>7.0199999999999999E-2</v>
      </c>
      <c r="L113" t="s">
        <v>30</v>
      </c>
      <c r="M113">
        <v>22</v>
      </c>
      <c r="N113" t="s">
        <v>56</v>
      </c>
      <c r="O113" t="s">
        <v>173</v>
      </c>
      <c r="P113">
        <v>0</v>
      </c>
      <c r="Q113">
        <v>100</v>
      </c>
      <c r="R113" t="s">
        <v>36</v>
      </c>
      <c r="S113">
        <v>12</v>
      </c>
      <c r="T113">
        <v>12</v>
      </c>
      <c r="U113" t="s">
        <v>112</v>
      </c>
      <c r="V113" t="s">
        <v>37</v>
      </c>
      <c r="W113">
        <v>450</v>
      </c>
      <c r="X113">
        <v>60</v>
      </c>
      <c r="Y113" t="s">
        <v>38</v>
      </c>
      <c r="Z113">
        <v>20</v>
      </c>
      <c r="AA113" t="s">
        <v>39</v>
      </c>
      <c r="AB113">
        <v>20</v>
      </c>
      <c r="AC113" t="s">
        <v>40</v>
      </c>
    </row>
    <row r="114" spans="1:29" x14ac:dyDescent="0.25">
      <c r="A114" t="s">
        <v>240</v>
      </c>
      <c r="B114" t="s">
        <v>29</v>
      </c>
      <c r="C114" t="s">
        <v>30</v>
      </c>
      <c r="D114" t="s">
        <v>30</v>
      </c>
      <c r="E114" t="s">
        <v>31</v>
      </c>
      <c r="F114">
        <v>2</v>
      </c>
      <c r="G114">
        <v>2</v>
      </c>
      <c r="H114" t="s">
        <v>106</v>
      </c>
      <c r="I114" t="s">
        <v>33</v>
      </c>
      <c r="J114" t="s">
        <v>34</v>
      </c>
      <c r="K114" s="1">
        <v>6.7799999999999999E-2</v>
      </c>
      <c r="L114" t="s">
        <v>30</v>
      </c>
      <c r="M114">
        <v>22</v>
      </c>
      <c r="N114" t="s">
        <v>96</v>
      </c>
      <c r="O114" t="s">
        <v>173</v>
      </c>
      <c r="P114">
        <v>0</v>
      </c>
      <c r="Q114">
        <v>100</v>
      </c>
      <c r="R114" t="s">
        <v>36</v>
      </c>
      <c r="S114">
        <v>12</v>
      </c>
      <c r="T114">
        <v>12</v>
      </c>
      <c r="U114" t="s">
        <v>112</v>
      </c>
      <c r="V114" t="s">
        <v>37</v>
      </c>
      <c r="W114">
        <v>450</v>
      </c>
      <c r="X114">
        <v>60</v>
      </c>
      <c r="Y114" t="s">
        <v>38</v>
      </c>
      <c r="Z114">
        <v>20</v>
      </c>
      <c r="AA114" t="s">
        <v>39</v>
      </c>
      <c r="AB114">
        <v>20</v>
      </c>
      <c r="AC114" t="s">
        <v>40</v>
      </c>
    </row>
    <row r="115" spans="1:29" x14ac:dyDescent="0.25">
      <c r="A115" t="s">
        <v>241</v>
      </c>
      <c r="B115" t="s">
        <v>29</v>
      </c>
      <c r="C115" t="s">
        <v>30</v>
      </c>
      <c r="D115" t="s">
        <v>30</v>
      </c>
      <c r="E115" t="s">
        <v>31</v>
      </c>
      <c r="F115">
        <v>2</v>
      </c>
      <c r="G115">
        <v>2</v>
      </c>
      <c r="H115" t="s">
        <v>107</v>
      </c>
      <c r="I115" t="s">
        <v>33</v>
      </c>
      <c r="J115" t="s">
        <v>34</v>
      </c>
      <c r="K115" s="1">
        <v>6.6100000000000006E-2</v>
      </c>
      <c r="L115" t="s">
        <v>30</v>
      </c>
      <c r="M115">
        <v>22</v>
      </c>
      <c r="N115" t="s">
        <v>58</v>
      </c>
      <c r="O115" t="s">
        <v>173</v>
      </c>
      <c r="P115">
        <v>0</v>
      </c>
      <c r="Q115">
        <v>100</v>
      </c>
      <c r="R115" t="s">
        <v>36</v>
      </c>
      <c r="S115">
        <v>12</v>
      </c>
      <c r="T115">
        <v>12</v>
      </c>
      <c r="U115" t="s">
        <v>112</v>
      </c>
      <c r="V115" t="s">
        <v>37</v>
      </c>
      <c r="W115">
        <v>450</v>
      </c>
      <c r="X115">
        <v>60</v>
      </c>
      <c r="Y115" t="s">
        <v>38</v>
      </c>
      <c r="Z115">
        <v>20</v>
      </c>
      <c r="AA115" t="s">
        <v>39</v>
      </c>
      <c r="AB115">
        <v>20</v>
      </c>
      <c r="AC115" t="s">
        <v>40</v>
      </c>
    </row>
    <row r="116" spans="1:29" x14ac:dyDescent="0.25">
      <c r="A116" t="str">
        <f>"EEM_EG_Pavlovagyrans_raw_002_003_"&amp;H116&amp;".csv"</f>
        <v>EEM_EG_Pavlovagyrans_raw_002_003_A1.csv</v>
      </c>
      <c r="B116" t="s">
        <v>29</v>
      </c>
      <c r="C116" t="s">
        <v>30</v>
      </c>
      <c r="D116" t="s">
        <v>30</v>
      </c>
      <c r="E116" t="s">
        <v>31</v>
      </c>
      <c r="F116">
        <v>2</v>
      </c>
      <c r="G116">
        <v>3</v>
      </c>
      <c r="H116" t="s">
        <v>110</v>
      </c>
      <c r="I116" t="s">
        <v>33</v>
      </c>
      <c r="J116" t="s">
        <v>34</v>
      </c>
      <c r="K116" s="1">
        <v>6.9099999999999995E-2</v>
      </c>
      <c r="L116" t="s">
        <v>30</v>
      </c>
      <c r="M116">
        <v>22</v>
      </c>
      <c r="N116" t="s">
        <v>35</v>
      </c>
      <c r="O116" t="s">
        <v>242</v>
      </c>
      <c r="P116">
        <v>0</v>
      </c>
      <c r="Q116">
        <v>50</v>
      </c>
      <c r="R116" t="s">
        <v>36</v>
      </c>
      <c r="S116">
        <v>12</v>
      </c>
      <c r="T116">
        <v>12</v>
      </c>
      <c r="U116" t="s">
        <v>112</v>
      </c>
      <c r="V116" t="s">
        <v>37</v>
      </c>
      <c r="W116">
        <v>450</v>
      </c>
      <c r="X116">
        <v>60</v>
      </c>
      <c r="Y116" t="s">
        <v>38</v>
      </c>
      <c r="Z116">
        <v>20</v>
      </c>
      <c r="AA116" t="s">
        <v>39</v>
      </c>
      <c r="AB116">
        <v>20</v>
      </c>
      <c r="AC116" t="s">
        <v>40</v>
      </c>
    </row>
    <row r="117" spans="1:29" x14ac:dyDescent="0.25">
      <c r="A117" t="str">
        <f t="shared" ref="A117:A163" si="0">"EEM_EG_Pavlovagyrans_raw_002_003_"&amp;H117&amp;".csv"</f>
        <v>EEM_EG_Pavlovagyrans_raw_002_003_A2.csv</v>
      </c>
      <c r="B117" t="s">
        <v>29</v>
      </c>
      <c r="C117" t="s">
        <v>30</v>
      </c>
      <c r="D117" t="s">
        <v>30</v>
      </c>
      <c r="E117" t="s">
        <v>31</v>
      </c>
      <c r="F117">
        <v>2</v>
      </c>
      <c r="G117">
        <v>3</v>
      </c>
      <c r="H117" t="s">
        <v>114</v>
      </c>
      <c r="I117" t="s">
        <v>33</v>
      </c>
      <c r="J117" t="s">
        <v>34</v>
      </c>
      <c r="K117" s="1">
        <v>7.0499999999999993E-2</v>
      </c>
      <c r="L117" t="s">
        <v>30</v>
      </c>
      <c r="M117">
        <v>22</v>
      </c>
      <c r="N117" t="s">
        <v>80</v>
      </c>
      <c r="O117" t="s">
        <v>242</v>
      </c>
      <c r="P117">
        <v>0</v>
      </c>
      <c r="Q117">
        <v>50</v>
      </c>
      <c r="R117" t="s">
        <v>36</v>
      </c>
      <c r="S117">
        <v>12</v>
      </c>
      <c r="T117">
        <v>12</v>
      </c>
      <c r="U117" t="s">
        <v>112</v>
      </c>
      <c r="V117" t="s">
        <v>37</v>
      </c>
      <c r="W117">
        <v>450</v>
      </c>
      <c r="X117">
        <v>60</v>
      </c>
      <c r="Y117" t="s">
        <v>38</v>
      </c>
      <c r="Z117">
        <v>20</v>
      </c>
      <c r="AA117" t="s">
        <v>39</v>
      </c>
      <c r="AB117">
        <v>20</v>
      </c>
      <c r="AC117" t="s">
        <v>40</v>
      </c>
    </row>
    <row r="118" spans="1:29" x14ac:dyDescent="0.25">
      <c r="A118" t="str">
        <f t="shared" si="0"/>
        <v>EEM_EG_Pavlovagyrans_raw_002_003_A3.csv</v>
      </c>
      <c r="B118" t="s">
        <v>29</v>
      </c>
      <c r="C118" t="s">
        <v>30</v>
      </c>
      <c r="D118" t="s">
        <v>30</v>
      </c>
      <c r="E118" t="s">
        <v>31</v>
      </c>
      <c r="F118">
        <v>2</v>
      </c>
      <c r="G118">
        <v>3</v>
      </c>
      <c r="H118" t="s">
        <v>116</v>
      </c>
      <c r="I118" t="s">
        <v>33</v>
      </c>
      <c r="J118" t="s">
        <v>34</v>
      </c>
      <c r="K118" s="1">
        <v>6.59E-2</v>
      </c>
      <c r="L118" t="s">
        <v>30</v>
      </c>
      <c r="M118">
        <v>22</v>
      </c>
      <c r="N118" t="s">
        <v>42</v>
      </c>
      <c r="O118" t="s">
        <v>242</v>
      </c>
      <c r="P118">
        <v>0</v>
      </c>
      <c r="Q118">
        <v>50</v>
      </c>
      <c r="R118" t="s">
        <v>36</v>
      </c>
      <c r="S118">
        <v>12</v>
      </c>
      <c r="T118">
        <v>12</v>
      </c>
      <c r="U118" t="s">
        <v>112</v>
      </c>
      <c r="V118" t="s">
        <v>37</v>
      </c>
      <c r="W118">
        <v>450</v>
      </c>
      <c r="X118">
        <v>60</v>
      </c>
      <c r="Y118" t="s">
        <v>38</v>
      </c>
      <c r="Z118">
        <v>20</v>
      </c>
      <c r="AA118" t="s">
        <v>39</v>
      </c>
      <c r="AB118">
        <v>20</v>
      </c>
      <c r="AC118" t="s">
        <v>40</v>
      </c>
    </row>
    <row r="119" spans="1:29" x14ac:dyDescent="0.25">
      <c r="A119" t="str">
        <f t="shared" si="0"/>
        <v>EEM_EG_Pavlovagyrans_raw_002_003_A4.csv</v>
      </c>
      <c r="B119" t="s">
        <v>29</v>
      </c>
      <c r="C119" t="s">
        <v>30</v>
      </c>
      <c r="D119" t="s">
        <v>30</v>
      </c>
      <c r="E119" t="s">
        <v>31</v>
      </c>
      <c r="F119">
        <v>2</v>
      </c>
      <c r="G119">
        <v>3</v>
      </c>
      <c r="H119" t="s">
        <v>118</v>
      </c>
      <c r="I119" t="s">
        <v>33</v>
      </c>
      <c r="J119" t="s">
        <v>34</v>
      </c>
      <c r="K119" s="1">
        <v>6.0900000000000003E-2</v>
      </c>
      <c r="L119" t="s">
        <v>30</v>
      </c>
      <c r="M119">
        <v>22</v>
      </c>
      <c r="N119" t="s">
        <v>82</v>
      </c>
      <c r="O119" t="s">
        <v>242</v>
      </c>
      <c r="P119">
        <v>0</v>
      </c>
      <c r="Q119">
        <v>50</v>
      </c>
      <c r="R119" t="s">
        <v>36</v>
      </c>
      <c r="S119">
        <v>12</v>
      </c>
      <c r="T119">
        <v>12</v>
      </c>
      <c r="U119" t="s">
        <v>112</v>
      </c>
      <c r="V119" t="s">
        <v>37</v>
      </c>
      <c r="W119">
        <v>450</v>
      </c>
      <c r="X119">
        <v>60</v>
      </c>
      <c r="Y119" t="s">
        <v>38</v>
      </c>
      <c r="Z119">
        <v>20</v>
      </c>
      <c r="AA119" t="s">
        <v>39</v>
      </c>
      <c r="AB119">
        <v>20</v>
      </c>
      <c r="AC119" t="s">
        <v>40</v>
      </c>
    </row>
    <row r="120" spans="1:29" x14ac:dyDescent="0.25">
      <c r="A120" t="str">
        <f t="shared" si="0"/>
        <v>EEM_EG_Pavlovagyrans_raw_002_003_A5.csv</v>
      </c>
      <c r="B120" t="s">
        <v>29</v>
      </c>
      <c r="C120" t="s">
        <v>30</v>
      </c>
      <c r="D120" t="s">
        <v>30</v>
      </c>
      <c r="E120" t="s">
        <v>31</v>
      </c>
      <c r="F120">
        <v>2</v>
      </c>
      <c r="G120">
        <v>3</v>
      </c>
      <c r="H120" t="s">
        <v>120</v>
      </c>
      <c r="I120" t="s">
        <v>33</v>
      </c>
      <c r="J120" t="s">
        <v>34</v>
      </c>
      <c r="K120" s="1">
        <v>6.2899999999999998E-2</v>
      </c>
      <c r="L120" t="s">
        <v>30</v>
      </c>
      <c r="M120">
        <v>22</v>
      </c>
      <c r="N120" t="s">
        <v>44</v>
      </c>
      <c r="O120" t="s">
        <v>242</v>
      </c>
      <c r="P120">
        <v>0</v>
      </c>
      <c r="Q120">
        <v>50</v>
      </c>
      <c r="R120" t="s">
        <v>36</v>
      </c>
      <c r="S120">
        <v>12</v>
      </c>
      <c r="T120">
        <v>12</v>
      </c>
      <c r="U120" t="s">
        <v>112</v>
      </c>
      <c r="V120" t="s">
        <v>37</v>
      </c>
      <c r="W120">
        <v>450</v>
      </c>
      <c r="X120">
        <v>60</v>
      </c>
      <c r="Y120" t="s">
        <v>38</v>
      </c>
      <c r="Z120">
        <v>20</v>
      </c>
      <c r="AA120" t="s">
        <v>39</v>
      </c>
      <c r="AB120">
        <v>20</v>
      </c>
      <c r="AC120" t="s">
        <v>40</v>
      </c>
    </row>
    <row r="121" spans="1:29" x14ac:dyDescent="0.25">
      <c r="A121" t="str">
        <f t="shared" si="0"/>
        <v>EEM_EG_Pavlovagyrans_raw_002_003_A6.csv</v>
      </c>
      <c r="B121" t="s">
        <v>29</v>
      </c>
      <c r="C121" t="s">
        <v>30</v>
      </c>
      <c r="D121" t="s">
        <v>30</v>
      </c>
      <c r="E121" t="s">
        <v>31</v>
      </c>
      <c r="F121">
        <v>2</v>
      </c>
      <c r="G121">
        <v>3</v>
      </c>
      <c r="H121" t="s">
        <v>122</v>
      </c>
      <c r="I121" t="s">
        <v>33</v>
      </c>
      <c r="J121" t="s">
        <v>34</v>
      </c>
      <c r="K121" s="1">
        <v>6.0400000000000002E-2</v>
      </c>
      <c r="L121" t="s">
        <v>30</v>
      </c>
      <c r="M121">
        <v>22</v>
      </c>
      <c r="N121" t="s">
        <v>84</v>
      </c>
      <c r="O121" t="s">
        <v>242</v>
      </c>
      <c r="P121">
        <v>0</v>
      </c>
      <c r="Q121">
        <v>50</v>
      </c>
      <c r="R121" t="s">
        <v>36</v>
      </c>
      <c r="S121">
        <v>12</v>
      </c>
      <c r="T121">
        <v>12</v>
      </c>
      <c r="U121" t="s">
        <v>112</v>
      </c>
      <c r="V121" t="s">
        <v>37</v>
      </c>
      <c r="W121">
        <v>450</v>
      </c>
      <c r="X121">
        <v>60</v>
      </c>
      <c r="Y121" t="s">
        <v>38</v>
      </c>
      <c r="Z121">
        <v>20</v>
      </c>
      <c r="AA121" t="s">
        <v>39</v>
      </c>
      <c r="AB121">
        <v>20</v>
      </c>
      <c r="AC121" t="s">
        <v>40</v>
      </c>
    </row>
    <row r="122" spans="1:29" x14ac:dyDescent="0.25">
      <c r="A122" t="str">
        <f t="shared" si="0"/>
        <v>EEM_EG_Pavlovagyrans_raw_002_003_A7.csv</v>
      </c>
      <c r="B122" t="s">
        <v>29</v>
      </c>
      <c r="C122" t="s">
        <v>30</v>
      </c>
      <c r="D122" t="s">
        <v>30</v>
      </c>
      <c r="E122" t="s">
        <v>31</v>
      </c>
      <c r="F122">
        <v>2</v>
      </c>
      <c r="G122">
        <v>3</v>
      </c>
      <c r="H122" t="s">
        <v>124</v>
      </c>
      <c r="I122" t="s">
        <v>33</v>
      </c>
      <c r="J122" t="s">
        <v>34</v>
      </c>
      <c r="K122" s="1">
        <v>5.8599999999999999E-2</v>
      </c>
      <c r="L122" t="s">
        <v>30</v>
      </c>
      <c r="M122">
        <v>22</v>
      </c>
      <c r="N122" t="s">
        <v>46</v>
      </c>
      <c r="O122" t="s">
        <v>242</v>
      </c>
      <c r="P122">
        <v>0</v>
      </c>
      <c r="Q122">
        <v>50</v>
      </c>
      <c r="R122" t="s">
        <v>36</v>
      </c>
      <c r="S122">
        <v>12</v>
      </c>
      <c r="T122">
        <v>12</v>
      </c>
      <c r="U122" t="s">
        <v>112</v>
      </c>
      <c r="V122" t="s">
        <v>37</v>
      </c>
      <c r="W122">
        <v>450</v>
      </c>
      <c r="X122">
        <v>60</v>
      </c>
      <c r="Y122" t="s">
        <v>38</v>
      </c>
      <c r="Z122">
        <v>20</v>
      </c>
      <c r="AA122" t="s">
        <v>39</v>
      </c>
      <c r="AB122">
        <v>20</v>
      </c>
      <c r="AC122" t="s">
        <v>40</v>
      </c>
    </row>
    <row r="123" spans="1:29" x14ac:dyDescent="0.25">
      <c r="A123" t="str">
        <f t="shared" si="0"/>
        <v>EEM_EG_Pavlovagyrans_raw_002_003_A8.csv</v>
      </c>
      <c r="B123" t="s">
        <v>29</v>
      </c>
      <c r="C123" t="s">
        <v>30</v>
      </c>
      <c r="D123" t="s">
        <v>30</v>
      </c>
      <c r="E123" t="s">
        <v>31</v>
      </c>
      <c r="F123">
        <v>2</v>
      </c>
      <c r="G123">
        <v>3</v>
      </c>
      <c r="H123" t="s">
        <v>126</v>
      </c>
      <c r="I123" t="s">
        <v>33</v>
      </c>
      <c r="J123" t="s">
        <v>34</v>
      </c>
      <c r="K123" s="1">
        <v>5.7200000000000001E-2</v>
      </c>
      <c r="L123" t="s">
        <v>30</v>
      </c>
      <c r="M123">
        <v>22</v>
      </c>
      <c r="N123" t="s">
        <v>86</v>
      </c>
      <c r="O123" t="s">
        <v>242</v>
      </c>
      <c r="P123">
        <v>0</v>
      </c>
      <c r="Q123">
        <v>50</v>
      </c>
      <c r="R123" t="s">
        <v>36</v>
      </c>
      <c r="S123">
        <v>12</v>
      </c>
      <c r="T123">
        <v>12</v>
      </c>
      <c r="U123" t="s">
        <v>112</v>
      </c>
      <c r="V123" t="s">
        <v>37</v>
      </c>
      <c r="W123">
        <v>450</v>
      </c>
      <c r="X123">
        <v>60</v>
      </c>
      <c r="Y123" t="s">
        <v>38</v>
      </c>
      <c r="Z123">
        <v>20</v>
      </c>
      <c r="AA123" t="s">
        <v>39</v>
      </c>
      <c r="AB123">
        <v>20</v>
      </c>
      <c r="AC123" t="s">
        <v>40</v>
      </c>
    </row>
    <row r="124" spans="1:29" x14ac:dyDescent="0.25">
      <c r="A124" t="str">
        <f t="shared" si="0"/>
        <v>EEM_EG_Pavlovagyrans_raw_002_003_B1.csv</v>
      </c>
      <c r="B124" t="s">
        <v>29</v>
      </c>
      <c r="C124" t="s">
        <v>30</v>
      </c>
      <c r="D124" t="s">
        <v>30</v>
      </c>
      <c r="E124" t="s">
        <v>31</v>
      </c>
      <c r="F124">
        <v>2</v>
      </c>
      <c r="G124">
        <v>3</v>
      </c>
      <c r="H124" t="s">
        <v>128</v>
      </c>
      <c r="I124" t="s">
        <v>33</v>
      </c>
      <c r="J124" t="s">
        <v>34</v>
      </c>
      <c r="K124" s="1">
        <v>6.5199999999999994E-2</v>
      </c>
      <c r="L124" t="s">
        <v>30</v>
      </c>
      <c r="M124">
        <v>22</v>
      </c>
      <c r="N124" t="s">
        <v>35</v>
      </c>
      <c r="O124" t="s">
        <v>242</v>
      </c>
      <c r="P124">
        <v>0</v>
      </c>
      <c r="Q124">
        <v>50</v>
      </c>
      <c r="R124" t="s">
        <v>36</v>
      </c>
      <c r="S124">
        <v>12</v>
      </c>
      <c r="T124">
        <v>12</v>
      </c>
      <c r="U124" t="s">
        <v>112</v>
      </c>
      <c r="V124" t="s">
        <v>37</v>
      </c>
      <c r="W124">
        <v>450</v>
      </c>
      <c r="X124">
        <v>60</v>
      </c>
      <c r="Y124" t="s">
        <v>38</v>
      </c>
      <c r="Z124">
        <v>20</v>
      </c>
      <c r="AA124" t="s">
        <v>39</v>
      </c>
      <c r="AB124">
        <v>20</v>
      </c>
      <c r="AC124" t="s">
        <v>40</v>
      </c>
    </row>
    <row r="125" spans="1:29" x14ac:dyDescent="0.25">
      <c r="A125" t="str">
        <f t="shared" si="0"/>
        <v>EEM_EG_Pavlovagyrans_raw_002_003_B2.csv</v>
      </c>
      <c r="B125" t="s">
        <v>29</v>
      </c>
      <c r="C125" t="s">
        <v>30</v>
      </c>
      <c r="D125" t="s">
        <v>30</v>
      </c>
      <c r="E125" t="s">
        <v>31</v>
      </c>
      <c r="F125">
        <v>2</v>
      </c>
      <c r="G125">
        <v>3</v>
      </c>
      <c r="H125" t="s">
        <v>32</v>
      </c>
      <c r="I125" t="s">
        <v>33</v>
      </c>
      <c r="J125" t="s">
        <v>34</v>
      </c>
      <c r="K125" s="1">
        <v>7.5499999999999998E-2</v>
      </c>
      <c r="L125" t="s">
        <v>30</v>
      </c>
      <c r="M125">
        <v>22</v>
      </c>
      <c r="N125" t="s">
        <v>80</v>
      </c>
      <c r="O125" t="s">
        <v>242</v>
      </c>
      <c r="P125">
        <v>0</v>
      </c>
      <c r="Q125">
        <v>50</v>
      </c>
      <c r="R125" t="s">
        <v>36</v>
      </c>
      <c r="S125">
        <v>12</v>
      </c>
      <c r="T125">
        <v>12</v>
      </c>
      <c r="U125" t="s">
        <v>112</v>
      </c>
      <c r="V125" t="s">
        <v>37</v>
      </c>
      <c r="W125">
        <v>450</v>
      </c>
      <c r="X125">
        <v>60</v>
      </c>
      <c r="Y125" t="s">
        <v>38</v>
      </c>
      <c r="Z125">
        <v>20</v>
      </c>
      <c r="AA125" t="s">
        <v>39</v>
      </c>
      <c r="AB125">
        <v>20</v>
      </c>
      <c r="AC125" t="s">
        <v>40</v>
      </c>
    </row>
    <row r="126" spans="1:29" x14ac:dyDescent="0.25">
      <c r="A126" t="str">
        <f t="shared" si="0"/>
        <v>EEM_EG_Pavlovagyrans_raw_002_003_B3.csv</v>
      </c>
      <c r="B126" t="s">
        <v>29</v>
      </c>
      <c r="C126" t="s">
        <v>30</v>
      </c>
      <c r="D126" t="s">
        <v>30</v>
      </c>
      <c r="E126" t="s">
        <v>31</v>
      </c>
      <c r="F126">
        <v>2</v>
      </c>
      <c r="G126">
        <v>3</v>
      </c>
      <c r="H126" t="s">
        <v>41</v>
      </c>
      <c r="I126" t="s">
        <v>33</v>
      </c>
      <c r="J126" t="s">
        <v>34</v>
      </c>
      <c r="K126" s="1">
        <v>8.0100000000000005E-2</v>
      </c>
      <c r="L126" t="s">
        <v>30</v>
      </c>
      <c r="M126">
        <v>22</v>
      </c>
      <c r="N126" t="s">
        <v>42</v>
      </c>
      <c r="O126" t="s">
        <v>242</v>
      </c>
      <c r="P126">
        <v>0</v>
      </c>
      <c r="Q126">
        <v>50</v>
      </c>
      <c r="R126" t="s">
        <v>36</v>
      </c>
      <c r="S126">
        <v>12</v>
      </c>
      <c r="T126">
        <v>12</v>
      </c>
      <c r="U126" t="s">
        <v>112</v>
      </c>
      <c r="V126" t="s">
        <v>37</v>
      </c>
      <c r="W126">
        <v>450</v>
      </c>
      <c r="X126">
        <v>60</v>
      </c>
      <c r="Y126" t="s">
        <v>38</v>
      </c>
      <c r="Z126">
        <v>20</v>
      </c>
      <c r="AA126" t="s">
        <v>39</v>
      </c>
      <c r="AB126">
        <v>20</v>
      </c>
      <c r="AC126" t="s">
        <v>40</v>
      </c>
    </row>
    <row r="127" spans="1:29" x14ac:dyDescent="0.25">
      <c r="A127" t="str">
        <f t="shared" si="0"/>
        <v>EEM_EG_Pavlovagyrans_raw_002_003_B4.csv</v>
      </c>
      <c r="B127" t="s">
        <v>29</v>
      </c>
      <c r="C127" t="s">
        <v>30</v>
      </c>
      <c r="D127" t="s">
        <v>30</v>
      </c>
      <c r="E127" t="s">
        <v>31</v>
      </c>
      <c r="F127">
        <v>2</v>
      </c>
      <c r="G127">
        <v>3</v>
      </c>
      <c r="H127" t="s">
        <v>43</v>
      </c>
      <c r="I127" t="s">
        <v>33</v>
      </c>
      <c r="J127" t="s">
        <v>34</v>
      </c>
      <c r="K127" s="1">
        <v>7.3499999999999996E-2</v>
      </c>
      <c r="L127" t="s">
        <v>30</v>
      </c>
      <c r="M127">
        <v>22</v>
      </c>
      <c r="N127" t="s">
        <v>82</v>
      </c>
      <c r="O127" t="s">
        <v>242</v>
      </c>
      <c r="P127">
        <v>0</v>
      </c>
      <c r="Q127">
        <v>50</v>
      </c>
      <c r="R127" t="s">
        <v>36</v>
      </c>
      <c r="S127">
        <v>12</v>
      </c>
      <c r="T127">
        <v>12</v>
      </c>
      <c r="U127" t="s">
        <v>112</v>
      </c>
      <c r="V127" t="s">
        <v>37</v>
      </c>
      <c r="W127">
        <v>450</v>
      </c>
      <c r="X127">
        <v>60</v>
      </c>
      <c r="Y127" t="s">
        <v>38</v>
      </c>
      <c r="Z127">
        <v>20</v>
      </c>
      <c r="AA127" t="s">
        <v>39</v>
      </c>
      <c r="AB127">
        <v>20</v>
      </c>
      <c r="AC127" t="s">
        <v>40</v>
      </c>
    </row>
    <row r="128" spans="1:29" x14ac:dyDescent="0.25">
      <c r="A128" t="str">
        <f t="shared" si="0"/>
        <v>EEM_EG_Pavlovagyrans_raw_002_003_B5.csv</v>
      </c>
      <c r="B128" t="s">
        <v>29</v>
      </c>
      <c r="C128" t="s">
        <v>30</v>
      </c>
      <c r="D128" t="s">
        <v>30</v>
      </c>
      <c r="E128" t="s">
        <v>31</v>
      </c>
      <c r="F128">
        <v>2</v>
      </c>
      <c r="G128">
        <v>3</v>
      </c>
      <c r="H128" t="s">
        <v>45</v>
      </c>
      <c r="I128" t="s">
        <v>33</v>
      </c>
      <c r="J128" t="s">
        <v>34</v>
      </c>
      <c r="K128" s="1">
        <v>7.1800000000000003E-2</v>
      </c>
      <c r="L128" t="s">
        <v>30</v>
      </c>
      <c r="M128">
        <v>22</v>
      </c>
      <c r="N128" t="s">
        <v>44</v>
      </c>
      <c r="O128" t="s">
        <v>242</v>
      </c>
      <c r="P128">
        <v>0</v>
      </c>
      <c r="Q128">
        <v>50</v>
      </c>
      <c r="R128" t="s">
        <v>36</v>
      </c>
      <c r="S128">
        <v>12</v>
      </c>
      <c r="T128">
        <v>12</v>
      </c>
      <c r="U128" t="s">
        <v>112</v>
      </c>
      <c r="V128" t="s">
        <v>37</v>
      </c>
      <c r="W128">
        <v>450</v>
      </c>
      <c r="X128">
        <v>60</v>
      </c>
      <c r="Y128" t="s">
        <v>38</v>
      </c>
      <c r="Z128">
        <v>20</v>
      </c>
      <c r="AA128" t="s">
        <v>39</v>
      </c>
      <c r="AB128">
        <v>20</v>
      </c>
      <c r="AC128" t="s">
        <v>40</v>
      </c>
    </row>
    <row r="129" spans="1:29" x14ac:dyDescent="0.25">
      <c r="A129" t="str">
        <f t="shared" si="0"/>
        <v>EEM_EG_Pavlovagyrans_raw_002_003_B6.csv</v>
      </c>
      <c r="B129" t="s">
        <v>29</v>
      </c>
      <c r="C129" t="s">
        <v>30</v>
      </c>
      <c r="D129" t="s">
        <v>30</v>
      </c>
      <c r="E129" t="s">
        <v>31</v>
      </c>
      <c r="F129">
        <v>2</v>
      </c>
      <c r="G129">
        <v>3</v>
      </c>
      <c r="H129" t="s">
        <v>47</v>
      </c>
      <c r="I129" t="s">
        <v>33</v>
      </c>
      <c r="J129" t="s">
        <v>34</v>
      </c>
      <c r="K129" s="1">
        <v>7.3599999999999999E-2</v>
      </c>
      <c r="L129" t="s">
        <v>30</v>
      </c>
      <c r="M129">
        <v>22</v>
      </c>
      <c r="N129" t="s">
        <v>84</v>
      </c>
      <c r="O129" t="s">
        <v>242</v>
      </c>
      <c r="P129">
        <v>0</v>
      </c>
      <c r="Q129">
        <v>50</v>
      </c>
      <c r="R129" t="s">
        <v>36</v>
      </c>
      <c r="S129">
        <v>12</v>
      </c>
      <c r="T129">
        <v>12</v>
      </c>
      <c r="U129" t="s">
        <v>112</v>
      </c>
      <c r="V129" t="s">
        <v>37</v>
      </c>
      <c r="W129">
        <v>450</v>
      </c>
      <c r="X129">
        <v>60</v>
      </c>
      <c r="Y129" t="s">
        <v>38</v>
      </c>
      <c r="Z129">
        <v>20</v>
      </c>
      <c r="AA129" t="s">
        <v>39</v>
      </c>
      <c r="AB129">
        <v>20</v>
      </c>
      <c r="AC129" t="s">
        <v>40</v>
      </c>
    </row>
    <row r="130" spans="1:29" x14ac:dyDescent="0.25">
      <c r="A130" t="str">
        <f t="shared" si="0"/>
        <v>EEM_EG_Pavlovagyrans_raw_002_003_B7.csv</v>
      </c>
      <c r="B130" t="s">
        <v>29</v>
      </c>
      <c r="C130" t="s">
        <v>30</v>
      </c>
      <c r="D130" t="s">
        <v>30</v>
      </c>
      <c r="E130" t="s">
        <v>31</v>
      </c>
      <c r="F130">
        <v>2</v>
      </c>
      <c r="G130">
        <v>3</v>
      </c>
      <c r="H130" t="s">
        <v>49</v>
      </c>
      <c r="I130" t="s">
        <v>33</v>
      </c>
      <c r="J130" t="s">
        <v>34</v>
      </c>
      <c r="K130" s="1">
        <v>8.1299999999999997E-2</v>
      </c>
      <c r="L130" t="s">
        <v>30</v>
      </c>
      <c r="M130">
        <v>22</v>
      </c>
      <c r="N130" t="s">
        <v>46</v>
      </c>
      <c r="O130" t="s">
        <v>242</v>
      </c>
      <c r="P130">
        <v>0</v>
      </c>
      <c r="Q130">
        <v>50</v>
      </c>
      <c r="R130" t="s">
        <v>36</v>
      </c>
      <c r="S130">
        <v>12</v>
      </c>
      <c r="T130">
        <v>12</v>
      </c>
      <c r="U130" t="s">
        <v>112</v>
      </c>
      <c r="V130" t="s">
        <v>37</v>
      </c>
      <c r="W130">
        <v>450</v>
      </c>
      <c r="X130">
        <v>60</v>
      </c>
      <c r="Y130" t="s">
        <v>38</v>
      </c>
      <c r="Z130">
        <v>20</v>
      </c>
      <c r="AA130" t="s">
        <v>39</v>
      </c>
      <c r="AB130">
        <v>20</v>
      </c>
      <c r="AC130" t="s">
        <v>40</v>
      </c>
    </row>
    <row r="131" spans="1:29" x14ac:dyDescent="0.25">
      <c r="A131" t="str">
        <f t="shared" si="0"/>
        <v>EEM_EG_Pavlovagyrans_raw_002_003_B8.csv</v>
      </c>
      <c r="B131" t="s">
        <v>29</v>
      </c>
      <c r="C131" t="s">
        <v>30</v>
      </c>
      <c r="D131" t="s">
        <v>30</v>
      </c>
      <c r="E131" t="s">
        <v>31</v>
      </c>
      <c r="F131">
        <v>2</v>
      </c>
      <c r="G131">
        <v>3</v>
      </c>
      <c r="H131" t="s">
        <v>51</v>
      </c>
      <c r="I131" t="s">
        <v>33</v>
      </c>
      <c r="J131" t="s">
        <v>34</v>
      </c>
      <c r="K131" s="1">
        <v>0.1019</v>
      </c>
      <c r="L131" t="s">
        <v>30</v>
      </c>
      <c r="M131">
        <v>22</v>
      </c>
      <c r="N131" t="s">
        <v>86</v>
      </c>
      <c r="O131" t="s">
        <v>242</v>
      </c>
      <c r="P131">
        <v>0</v>
      </c>
      <c r="Q131">
        <v>50</v>
      </c>
      <c r="R131" t="s">
        <v>36</v>
      </c>
      <c r="S131">
        <v>12</v>
      </c>
      <c r="T131">
        <v>12</v>
      </c>
      <c r="U131" t="s">
        <v>112</v>
      </c>
      <c r="V131" t="s">
        <v>37</v>
      </c>
      <c r="W131">
        <v>450</v>
      </c>
      <c r="X131">
        <v>60</v>
      </c>
      <c r="Y131" t="s">
        <v>38</v>
      </c>
      <c r="Z131">
        <v>20</v>
      </c>
      <c r="AA131" t="s">
        <v>39</v>
      </c>
      <c r="AB131">
        <v>20</v>
      </c>
      <c r="AC131" t="s">
        <v>40</v>
      </c>
    </row>
    <row r="132" spans="1:29" x14ac:dyDescent="0.25">
      <c r="A132" t="str">
        <f t="shared" si="0"/>
        <v>EEM_EG_Pavlovagyrans_raw_002_003_C1.csv</v>
      </c>
      <c r="B132" t="s">
        <v>29</v>
      </c>
      <c r="C132" t="s">
        <v>30</v>
      </c>
      <c r="D132" t="s">
        <v>30</v>
      </c>
      <c r="E132" t="s">
        <v>31</v>
      </c>
      <c r="F132">
        <v>2</v>
      </c>
      <c r="G132">
        <v>3</v>
      </c>
      <c r="H132" t="s">
        <v>137</v>
      </c>
      <c r="I132" t="s">
        <v>33</v>
      </c>
      <c r="J132" t="s">
        <v>34</v>
      </c>
      <c r="K132" s="1">
        <v>0.11119999999999999</v>
      </c>
      <c r="L132" t="s">
        <v>30</v>
      </c>
      <c r="M132">
        <v>22</v>
      </c>
      <c r="N132" t="s">
        <v>35</v>
      </c>
      <c r="O132" t="s">
        <v>242</v>
      </c>
      <c r="P132">
        <v>0</v>
      </c>
      <c r="Q132">
        <v>50</v>
      </c>
      <c r="R132" t="s">
        <v>36</v>
      </c>
      <c r="S132">
        <v>12</v>
      </c>
      <c r="T132">
        <v>12</v>
      </c>
      <c r="U132" t="s">
        <v>112</v>
      </c>
      <c r="V132" t="s">
        <v>37</v>
      </c>
      <c r="W132">
        <v>450</v>
      </c>
      <c r="X132">
        <v>60</v>
      </c>
      <c r="Y132" t="s">
        <v>38</v>
      </c>
      <c r="Z132">
        <v>20</v>
      </c>
      <c r="AA132" t="s">
        <v>39</v>
      </c>
      <c r="AB132">
        <v>20</v>
      </c>
      <c r="AC132" t="s">
        <v>40</v>
      </c>
    </row>
    <row r="133" spans="1:29" x14ac:dyDescent="0.25">
      <c r="A133" t="str">
        <f t="shared" si="0"/>
        <v>EEM_EG_Pavlovagyrans_raw_002_003_C2.csv</v>
      </c>
      <c r="B133" t="s">
        <v>29</v>
      </c>
      <c r="C133" t="s">
        <v>30</v>
      </c>
      <c r="D133" t="s">
        <v>30</v>
      </c>
      <c r="E133" t="s">
        <v>31</v>
      </c>
      <c r="F133">
        <v>2</v>
      </c>
      <c r="G133">
        <v>3</v>
      </c>
      <c r="H133" t="s">
        <v>59</v>
      </c>
      <c r="I133" t="s">
        <v>33</v>
      </c>
      <c r="J133" t="s">
        <v>34</v>
      </c>
      <c r="K133" s="1">
        <v>7.8E-2</v>
      </c>
      <c r="L133" t="s">
        <v>30</v>
      </c>
      <c r="M133">
        <v>22</v>
      </c>
      <c r="N133" t="s">
        <v>80</v>
      </c>
      <c r="O133" t="s">
        <v>242</v>
      </c>
      <c r="P133">
        <v>0</v>
      </c>
      <c r="Q133">
        <v>50</v>
      </c>
      <c r="R133" t="s">
        <v>36</v>
      </c>
      <c r="S133">
        <v>12</v>
      </c>
      <c r="T133">
        <v>12</v>
      </c>
      <c r="U133" t="s">
        <v>112</v>
      </c>
      <c r="V133" t="s">
        <v>37</v>
      </c>
      <c r="W133">
        <v>450</v>
      </c>
      <c r="X133">
        <v>60</v>
      </c>
      <c r="Y133" t="s">
        <v>38</v>
      </c>
      <c r="Z133">
        <v>20</v>
      </c>
      <c r="AA133" t="s">
        <v>39</v>
      </c>
      <c r="AB133">
        <v>20</v>
      </c>
      <c r="AC133" t="s">
        <v>40</v>
      </c>
    </row>
    <row r="134" spans="1:29" x14ac:dyDescent="0.25">
      <c r="A134" t="str">
        <f t="shared" si="0"/>
        <v>EEM_EG_Pavlovagyrans_raw_002_003_C3.csv</v>
      </c>
      <c r="B134" t="s">
        <v>29</v>
      </c>
      <c r="C134" t="s">
        <v>30</v>
      </c>
      <c r="D134" t="s">
        <v>30</v>
      </c>
      <c r="E134" t="s">
        <v>31</v>
      </c>
      <c r="F134">
        <v>2</v>
      </c>
      <c r="G134">
        <v>3</v>
      </c>
      <c r="H134" t="s">
        <v>60</v>
      </c>
      <c r="I134" t="s">
        <v>33</v>
      </c>
      <c r="J134" t="s">
        <v>34</v>
      </c>
      <c r="K134" s="1">
        <v>7.0800000000000002E-2</v>
      </c>
      <c r="L134" t="s">
        <v>30</v>
      </c>
      <c r="M134">
        <v>22</v>
      </c>
      <c r="N134" t="s">
        <v>42</v>
      </c>
      <c r="O134" t="s">
        <v>242</v>
      </c>
      <c r="P134">
        <v>0</v>
      </c>
      <c r="Q134">
        <v>50</v>
      </c>
      <c r="R134" t="s">
        <v>36</v>
      </c>
      <c r="S134">
        <v>12</v>
      </c>
      <c r="T134">
        <v>12</v>
      </c>
      <c r="U134" t="s">
        <v>112</v>
      </c>
      <c r="V134" t="s">
        <v>37</v>
      </c>
      <c r="W134">
        <v>450</v>
      </c>
      <c r="X134">
        <v>60</v>
      </c>
      <c r="Y134" t="s">
        <v>38</v>
      </c>
      <c r="Z134">
        <v>20</v>
      </c>
      <c r="AA134" t="s">
        <v>39</v>
      </c>
      <c r="AB134">
        <v>20</v>
      </c>
      <c r="AC134" t="s">
        <v>40</v>
      </c>
    </row>
    <row r="135" spans="1:29" x14ac:dyDescent="0.25">
      <c r="A135" t="str">
        <f t="shared" si="0"/>
        <v>EEM_EG_Pavlovagyrans_raw_002_003_C4.csv</v>
      </c>
      <c r="B135" t="s">
        <v>29</v>
      </c>
      <c r="C135" t="s">
        <v>30</v>
      </c>
      <c r="D135" t="s">
        <v>30</v>
      </c>
      <c r="E135" t="s">
        <v>31</v>
      </c>
      <c r="F135">
        <v>2</v>
      </c>
      <c r="G135">
        <v>3</v>
      </c>
      <c r="H135" t="s">
        <v>61</v>
      </c>
      <c r="I135" t="s">
        <v>33</v>
      </c>
      <c r="J135" t="s">
        <v>34</v>
      </c>
      <c r="K135" s="1">
        <v>7.3300000000000004E-2</v>
      </c>
      <c r="L135" t="s">
        <v>30</v>
      </c>
      <c r="M135">
        <v>22</v>
      </c>
      <c r="N135" t="s">
        <v>82</v>
      </c>
      <c r="O135" t="s">
        <v>242</v>
      </c>
      <c r="P135">
        <v>0</v>
      </c>
      <c r="Q135">
        <v>50</v>
      </c>
      <c r="R135" t="s">
        <v>36</v>
      </c>
      <c r="S135">
        <v>12</v>
      </c>
      <c r="T135">
        <v>12</v>
      </c>
      <c r="U135" t="s">
        <v>112</v>
      </c>
      <c r="V135" t="s">
        <v>37</v>
      </c>
      <c r="W135">
        <v>450</v>
      </c>
      <c r="X135">
        <v>60</v>
      </c>
      <c r="Y135" t="s">
        <v>38</v>
      </c>
      <c r="Z135">
        <v>20</v>
      </c>
      <c r="AA135" t="s">
        <v>39</v>
      </c>
      <c r="AB135">
        <v>20</v>
      </c>
      <c r="AC135" t="s">
        <v>40</v>
      </c>
    </row>
    <row r="136" spans="1:29" x14ac:dyDescent="0.25">
      <c r="A136" t="str">
        <f t="shared" si="0"/>
        <v>EEM_EG_Pavlovagyrans_raw_002_003_C5.csv</v>
      </c>
      <c r="B136" t="s">
        <v>29</v>
      </c>
      <c r="C136" t="s">
        <v>30</v>
      </c>
      <c r="D136" t="s">
        <v>30</v>
      </c>
      <c r="E136" t="s">
        <v>31</v>
      </c>
      <c r="F136">
        <v>2</v>
      </c>
      <c r="G136">
        <v>3</v>
      </c>
      <c r="H136" t="s">
        <v>62</v>
      </c>
      <c r="I136" t="s">
        <v>33</v>
      </c>
      <c r="J136" t="s">
        <v>34</v>
      </c>
      <c r="K136" s="1">
        <v>7.2599999999999998E-2</v>
      </c>
      <c r="L136" t="s">
        <v>30</v>
      </c>
      <c r="M136">
        <v>22</v>
      </c>
      <c r="N136" t="s">
        <v>44</v>
      </c>
      <c r="O136" t="s">
        <v>242</v>
      </c>
      <c r="P136">
        <v>0</v>
      </c>
      <c r="Q136">
        <v>50</v>
      </c>
      <c r="R136" t="s">
        <v>36</v>
      </c>
      <c r="S136">
        <v>12</v>
      </c>
      <c r="T136">
        <v>12</v>
      </c>
      <c r="U136" t="s">
        <v>112</v>
      </c>
      <c r="V136" t="s">
        <v>37</v>
      </c>
      <c r="W136">
        <v>450</v>
      </c>
      <c r="X136">
        <v>60</v>
      </c>
      <c r="Y136" t="s">
        <v>38</v>
      </c>
      <c r="Z136">
        <v>20</v>
      </c>
      <c r="AA136" t="s">
        <v>39</v>
      </c>
      <c r="AB136">
        <v>20</v>
      </c>
      <c r="AC136" t="s">
        <v>40</v>
      </c>
    </row>
    <row r="137" spans="1:29" x14ac:dyDescent="0.25">
      <c r="A137" t="str">
        <f t="shared" si="0"/>
        <v>EEM_EG_Pavlovagyrans_raw_002_003_C6.csv</v>
      </c>
      <c r="B137" t="s">
        <v>29</v>
      </c>
      <c r="C137" t="s">
        <v>30</v>
      </c>
      <c r="D137" t="s">
        <v>30</v>
      </c>
      <c r="E137" t="s">
        <v>31</v>
      </c>
      <c r="F137">
        <v>2</v>
      </c>
      <c r="G137">
        <v>3</v>
      </c>
      <c r="H137" t="s">
        <v>63</v>
      </c>
      <c r="I137" t="s">
        <v>33</v>
      </c>
      <c r="J137" t="s">
        <v>34</v>
      </c>
      <c r="K137" s="1">
        <v>7.6300000000000007E-2</v>
      </c>
      <c r="L137" t="s">
        <v>30</v>
      </c>
      <c r="M137">
        <v>22</v>
      </c>
      <c r="N137" t="s">
        <v>84</v>
      </c>
      <c r="O137" t="s">
        <v>242</v>
      </c>
      <c r="P137">
        <v>0</v>
      </c>
      <c r="Q137">
        <v>50</v>
      </c>
      <c r="R137" t="s">
        <v>36</v>
      </c>
      <c r="S137">
        <v>12</v>
      </c>
      <c r="T137">
        <v>12</v>
      </c>
      <c r="U137" t="s">
        <v>112</v>
      </c>
      <c r="V137" t="s">
        <v>37</v>
      </c>
      <c r="W137">
        <v>450</v>
      </c>
      <c r="X137">
        <v>60</v>
      </c>
      <c r="Y137" t="s">
        <v>38</v>
      </c>
      <c r="Z137">
        <v>20</v>
      </c>
      <c r="AA137" t="s">
        <v>39</v>
      </c>
      <c r="AB137">
        <v>20</v>
      </c>
      <c r="AC137" t="s">
        <v>40</v>
      </c>
    </row>
    <row r="138" spans="1:29" x14ac:dyDescent="0.25">
      <c r="A138" t="str">
        <f t="shared" si="0"/>
        <v>EEM_EG_Pavlovagyrans_raw_002_003_C7.csv</v>
      </c>
      <c r="B138" t="s">
        <v>29</v>
      </c>
      <c r="C138" t="s">
        <v>30</v>
      </c>
      <c r="D138" t="s">
        <v>30</v>
      </c>
      <c r="E138" t="s">
        <v>31</v>
      </c>
      <c r="F138">
        <v>2</v>
      </c>
      <c r="G138">
        <v>3</v>
      </c>
      <c r="H138" t="s">
        <v>64</v>
      </c>
      <c r="I138" t="s">
        <v>33</v>
      </c>
      <c r="J138" t="s">
        <v>34</v>
      </c>
      <c r="K138" s="1">
        <v>7.6999999999999999E-2</v>
      </c>
      <c r="L138" t="s">
        <v>30</v>
      </c>
      <c r="M138">
        <v>22</v>
      </c>
      <c r="N138" t="s">
        <v>46</v>
      </c>
      <c r="O138" t="s">
        <v>242</v>
      </c>
      <c r="P138">
        <v>0</v>
      </c>
      <c r="Q138">
        <v>50</v>
      </c>
      <c r="R138" t="s">
        <v>36</v>
      </c>
      <c r="S138">
        <v>12</v>
      </c>
      <c r="T138">
        <v>12</v>
      </c>
      <c r="U138" t="s">
        <v>112</v>
      </c>
      <c r="V138" t="s">
        <v>37</v>
      </c>
      <c r="W138">
        <v>450</v>
      </c>
      <c r="X138">
        <v>60</v>
      </c>
      <c r="Y138" t="s">
        <v>38</v>
      </c>
      <c r="Z138">
        <v>20</v>
      </c>
      <c r="AA138" t="s">
        <v>39</v>
      </c>
      <c r="AB138">
        <v>20</v>
      </c>
      <c r="AC138" t="s">
        <v>40</v>
      </c>
    </row>
    <row r="139" spans="1:29" x14ac:dyDescent="0.25">
      <c r="A139" t="str">
        <f t="shared" si="0"/>
        <v>EEM_EG_Pavlovagyrans_raw_002_003_C8.csv</v>
      </c>
      <c r="B139" t="s">
        <v>29</v>
      </c>
      <c r="C139" t="s">
        <v>30</v>
      </c>
      <c r="D139" t="s">
        <v>30</v>
      </c>
      <c r="E139" t="s">
        <v>31</v>
      </c>
      <c r="F139">
        <v>2</v>
      </c>
      <c r="G139">
        <v>3</v>
      </c>
      <c r="H139" t="s">
        <v>65</v>
      </c>
      <c r="I139" t="s">
        <v>33</v>
      </c>
      <c r="J139" t="s">
        <v>34</v>
      </c>
      <c r="K139" s="1">
        <v>7.4399999999999994E-2</v>
      </c>
      <c r="L139" t="s">
        <v>30</v>
      </c>
      <c r="M139">
        <v>22</v>
      </c>
      <c r="N139" t="s">
        <v>86</v>
      </c>
      <c r="O139" t="s">
        <v>242</v>
      </c>
      <c r="P139">
        <v>0</v>
      </c>
      <c r="Q139">
        <v>50</v>
      </c>
      <c r="R139" t="s">
        <v>36</v>
      </c>
      <c r="S139">
        <v>12</v>
      </c>
      <c r="T139">
        <v>12</v>
      </c>
      <c r="U139" t="s">
        <v>112</v>
      </c>
      <c r="V139" t="s">
        <v>37</v>
      </c>
      <c r="W139">
        <v>450</v>
      </c>
      <c r="X139">
        <v>60</v>
      </c>
      <c r="Y139" t="s">
        <v>38</v>
      </c>
      <c r="Z139">
        <v>20</v>
      </c>
      <c r="AA139" t="s">
        <v>39</v>
      </c>
      <c r="AB139">
        <v>20</v>
      </c>
      <c r="AC139" t="s">
        <v>40</v>
      </c>
    </row>
    <row r="140" spans="1:29" x14ac:dyDescent="0.25">
      <c r="A140" t="str">
        <f t="shared" si="0"/>
        <v>EEM_EG_Pavlovagyrans_raw_002_003_D1.csv</v>
      </c>
      <c r="B140" t="s">
        <v>29</v>
      </c>
      <c r="C140" t="s">
        <v>30</v>
      </c>
      <c r="D140" t="s">
        <v>30</v>
      </c>
      <c r="E140" t="s">
        <v>31</v>
      </c>
      <c r="F140">
        <v>2</v>
      </c>
      <c r="G140">
        <v>3</v>
      </c>
      <c r="H140" t="s">
        <v>146</v>
      </c>
      <c r="I140" t="s">
        <v>33</v>
      </c>
      <c r="J140" t="s">
        <v>34</v>
      </c>
      <c r="K140" s="1">
        <v>6.5199999999999994E-2</v>
      </c>
      <c r="L140" t="s">
        <v>30</v>
      </c>
      <c r="M140">
        <v>22</v>
      </c>
      <c r="N140" t="s">
        <v>35</v>
      </c>
      <c r="O140" t="s">
        <v>242</v>
      </c>
      <c r="P140">
        <v>0</v>
      </c>
      <c r="Q140">
        <v>50</v>
      </c>
      <c r="R140" t="s">
        <v>36</v>
      </c>
      <c r="S140">
        <v>12</v>
      </c>
      <c r="T140">
        <v>12</v>
      </c>
      <c r="U140" t="s">
        <v>112</v>
      </c>
      <c r="V140" t="s">
        <v>37</v>
      </c>
      <c r="W140">
        <v>450</v>
      </c>
      <c r="X140">
        <v>60</v>
      </c>
      <c r="Y140" t="s">
        <v>38</v>
      </c>
      <c r="Z140">
        <v>20</v>
      </c>
      <c r="AA140" t="s">
        <v>39</v>
      </c>
      <c r="AB140">
        <v>20</v>
      </c>
      <c r="AC140" t="s">
        <v>40</v>
      </c>
    </row>
    <row r="141" spans="1:29" x14ac:dyDescent="0.25">
      <c r="A141" t="str">
        <f t="shared" si="0"/>
        <v>EEM_EG_Pavlovagyrans_raw_002_003_D2.csv</v>
      </c>
      <c r="B141" t="s">
        <v>29</v>
      </c>
      <c r="C141" t="s">
        <v>30</v>
      </c>
      <c r="D141" t="s">
        <v>30</v>
      </c>
      <c r="E141" t="s">
        <v>31</v>
      </c>
      <c r="F141">
        <v>2</v>
      </c>
      <c r="G141">
        <v>3</v>
      </c>
      <c r="H141" t="s">
        <v>69</v>
      </c>
      <c r="I141" t="s">
        <v>33</v>
      </c>
      <c r="J141" t="s">
        <v>34</v>
      </c>
      <c r="K141" s="1">
        <v>7.6399999999999996E-2</v>
      </c>
      <c r="L141" t="s">
        <v>30</v>
      </c>
      <c r="M141">
        <v>22</v>
      </c>
      <c r="N141" t="s">
        <v>80</v>
      </c>
      <c r="O141" t="s">
        <v>242</v>
      </c>
      <c r="P141">
        <v>0</v>
      </c>
      <c r="Q141">
        <v>50</v>
      </c>
      <c r="R141" t="s">
        <v>36</v>
      </c>
      <c r="S141">
        <v>12</v>
      </c>
      <c r="T141">
        <v>12</v>
      </c>
      <c r="U141" t="s">
        <v>112</v>
      </c>
      <c r="V141" t="s">
        <v>37</v>
      </c>
      <c r="W141">
        <v>450</v>
      </c>
      <c r="X141">
        <v>60</v>
      </c>
      <c r="Y141" t="s">
        <v>38</v>
      </c>
      <c r="Z141">
        <v>20</v>
      </c>
      <c r="AA141" t="s">
        <v>39</v>
      </c>
      <c r="AB141">
        <v>20</v>
      </c>
      <c r="AC141" t="s">
        <v>40</v>
      </c>
    </row>
    <row r="142" spans="1:29" x14ac:dyDescent="0.25">
      <c r="A142" t="str">
        <f t="shared" si="0"/>
        <v>EEM_EG_Pavlovagyrans_raw_002_003_D3.csv</v>
      </c>
      <c r="B142" t="s">
        <v>29</v>
      </c>
      <c r="C142" t="s">
        <v>30</v>
      </c>
      <c r="D142" t="s">
        <v>30</v>
      </c>
      <c r="E142" t="s">
        <v>31</v>
      </c>
      <c r="F142">
        <v>2</v>
      </c>
      <c r="G142">
        <v>3</v>
      </c>
      <c r="H142" t="s">
        <v>70</v>
      </c>
      <c r="I142" t="s">
        <v>33</v>
      </c>
      <c r="J142" t="s">
        <v>34</v>
      </c>
      <c r="K142" s="1">
        <v>7.2499999999999995E-2</v>
      </c>
      <c r="L142" t="s">
        <v>30</v>
      </c>
      <c r="M142">
        <v>22</v>
      </c>
      <c r="N142" t="s">
        <v>42</v>
      </c>
      <c r="O142" t="s">
        <v>242</v>
      </c>
      <c r="P142">
        <v>0</v>
      </c>
      <c r="Q142">
        <v>50</v>
      </c>
      <c r="R142" t="s">
        <v>36</v>
      </c>
      <c r="S142">
        <v>12</v>
      </c>
      <c r="T142">
        <v>12</v>
      </c>
      <c r="U142" t="s">
        <v>112</v>
      </c>
      <c r="V142" t="s">
        <v>37</v>
      </c>
      <c r="W142">
        <v>450</v>
      </c>
      <c r="X142">
        <v>60</v>
      </c>
      <c r="Y142" t="s">
        <v>38</v>
      </c>
      <c r="Z142">
        <v>20</v>
      </c>
      <c r="AA142" t="s">
        <v>39</v>
      </c>
      <c r="AB142">
        <v>20</v>
      </c>
      <c r="AC142" t="s">
        <v>40</v>
      </c>
    </row>
    <row r="143" spans="1:29" x14ac:dyDescent="0.25">
      <c r="A143" t="str">
        <f t="shared" si="0"/>
        <v>EEM_EG_Pavlovagyrans_raw_002_003_D4.csv</v>
      </c>
      <c r="B143" t="s">
        <v>29</v>
      </c>
      <c r="C143" t="s">
        <v>30</v>
      </c>
      <c r="D143" t="s">
        <v>30</v>
      </c>
      <c r="E143" t="s">
        <v>31</v>
      </c>
      <c r="F143">
        <v>2</v>
      </c>
      <c r="G143">
        <v>3</v>
      </c>
      <c r="H143" t="s">
        <v>71</v>
      </c>
      <c r="I143" t="s">
        <v>33</v>
      </c>
      <c r="J143" t="s">
        <v>34</v>
      </c>
      <c r="K143" s="1">
        <v>7.6300000000000007E-2</v>
      </c>
      <c r="L143" t="s">
        <v>30</v>
      </c>
      <c r="M143">
        <v>22</v>
      </c>
      <c r="N143" t="s">
        <v>82</v>
      </c>
      <c r="O143" t="s">
        <v>242</v>
      </c>
      <c r="P143">
        <v>0</v>
      </c>
      <c r="Q143">
        <v>50</v>
      </c>
      <c r="R143" t="s">
        <v>36</v>
      </c>
      <c r="S143">
        <v>12</v>
      </c>
      <c r="T143">
        <v>12</v>
      </c>
      <c r="U143" t="s">
        <v>112</v>
      </c>
      <c r="V143" t="s">
        <v>37</v>
      </c>
      <c r="W143">
        <v>450</v>
      </c>
      <c r="X143">
        <v>60</v>
      </c>
      <c r="Y143" t="s">
        <v>38</v>
      </c>
      <c r="Z143">
        <v>20</v>
      </c>
      <c r="AA143" t="s">
        <v>39</v>
      </c>
      <c r="AB143">
        <v>20</v>
      </c>
      <c r="AC143" t="s">
        <v>40</v>
      </c>
    </row>
    <row r="144" spans="1:29" x14ac:dyDescent="0.25">
      <c r="A144" t="str">
        <f t="shared" si="0"/>
        <v>EEM_EG_Pavlovagyrans_raw_002_003_D5.csv</v>
      </c>
      <c r="B144" t="s">
        <v>29</v>
      </c>
      <c r="C144" t="s">
        <v>30</v>
      </c>
      <c r="D144" t="s">
        <v>30</v>
      </c>
      <c r="E144" t="s">
        <v>31</v>
      </c>
      <c r="F144">
        <v>2</v>
      </c>
      <c r="G144">
        <v>3</v>
      </c>
      <c r="H144" t="s">
        <v>72</v>
      </c>
      <c r="I144" t="s">
        <v>33</v>
      </c>
      <c r="J144" t="s">
        <v>34</v>
      </c>
      <c r="K144" s="1">
        <v>6.9800000000000001E-2</v>
      </c>
      <c r="L144" t="s">
        <v>30</v>
      </c>
      <c r="M144">
        <v>22</v>
      </c>
      <c r="N144" t="s">
        <v>44</v>
      </c>
      <c r="O144" t="s">
        <v>242</v>
      </c>
      <c r="P144">
        <v>0</v>
      </c>
      <c r="Q144">
        <v>50</v>
      </c>
      <c r="R144" t="s">
        <v>36</v>
      </c>
      <c r="S144">
        <v>12</v>
      </c>
      <c r="T144">
        <v>12</v>
      </c>
      <c r="U144" t="s">
        <v>112</v>
      </c>
      <c r="V144" t="s">
        <v>37</v>
      </c>
      <c r="W144">
        <v>450</v>
      </c>
      <c r="X144">
        <v>60</v>
      </c>
      <c r="Y144" t="s">
        <v>38</v>
      </c>
      <c r="Z144">
        <v>20</v>
      </c>
      <c r="AA144" t="s">
        <v>39</v>
      </c>
      <c r="AB144">
        <v>20</v>
      </c>
      <c r="AC144" t="s">
        <v>40</v>
      </c>
    </row>
    <row r="145" spans="1:29" x14ac:dyDescent="0.25">
      <c r="A145" t="str">
        <f t="shared" si="0"/>
        <v>EEM_EG_Pavlovagyrans_raw_002_003_D6.csv</v>
      </c>
      <c r="B145" t="s">
        <v>29</v>
      </c>
      <c r="C145" t="s">
        <v>30</v>
      </c>
      <c r="D145" t="s">
        <v>30</v>
      </c>
      <c r="E145" t="s">
        <v>31</v>
      </c>
      <c r="F145">
        <v>2</v>
      </c>
      <c r="G145">
        <v>3</v>
      </c>
      <c r="H145" t="s">
        <v>73</v>
      </c>
      <c r="I145" t="s">
        <v>33</v>
      </c>
      <c r="J145" t="s">
        <v>34</v>
      </c>
      <c r="K145" s="1">
        <v>7.5999999999999998E-2</v>
      </c>
      <c r="L145" t="s">
        <v>30</v>
      </c>
      <c r="M145">
        <v>22</v>
      </c>
      <c r="N145" t="s">
        <v>84</v>
      </c>
      <c r="O145" t="s">
        <v>242</v>
      </c>
      <c r="P145">
        <v>0</v>
      </c>
      <c r="Q145">
        <v>50</v>
      </c>
      <c r="R145" t="s">
        <v>36</v>
      </c>
      <c r="S145">
        <v>12</v>
      </c>
      <c r="T145">
        <v>12</v>
      </c>
      <c r="U145" t="s">
        <v>112</v>
      </c>
      <c r="V145" t="s">
        <v>37</v>
      </c>
      <c r="W145">
        <v>450</v>
      </c>
      <c r="X145">
        <v>60</v>
      </c>
      <c r="Y145" t="s">
        <v>38</v>
      </c>
      <c r="Z145">
        <v>20</v>
      </c>
      <c r="AA145" t="s">
        <v>39</v>
      </c>
      <c r="AB145">
        <v>20</v>
      </c>
      <c r="AC145" t="s">
        <v>40</v>
      </c>
    </row>
    <row r="146" spans="1:29" x14ac:dyDescent="0.25">
      <c r="A146" t="str">
        <f t="shared" si="0"/>
        <v>EEM_EG_Pavlovagyrans_raw_002_003_D7.csv</v>
      </c>
      <c r="B146" t="s">
        <v>29</v>
      </c>
      <c r="C146" t="s">
        <v>30</v>
      </c>
      <c r="D146" t="s">
        <v>30</v>
      </c>
      <c r="E146" t="s">
        <v>31</v>
      </c>
      <c r="F146">
        <v>2</v>
      </c>
      <c r="G146">
        <v>3</v>
      </c>
      <c r="H146" t="s">
        <v>74</v>
      </c>
      <c r="I146" t="s">
        <v>33</v>
      </c>
      <c r="J146" t="s">
        <v>34</v>
      </c>
      <c r="K146" s="1">
        <v>7.3800000000000004E-2</v>
      </c>
      <c r="L146" t="s">
        <v>30</v>
      </c>
      <c r="M146">
        <v>22</v>
      </c>
      <c r="N146" t="s">
        <v>46</v>
      </c>
      <c r="O146" t="s">
        <v>242</v>
      </c>
      <c r="P146">
        <v>0</v>
      </c>
      <c r="Q146">
        <v>50</v>
      </c>
      <c r="R146" t="s">
        <v>36</v>
      </c>
      <c r="S146">
        <v>12</v>
      </c>
      <c r="T146">
        <v>12</v>
      </c>
      <c r="U146" t="s">
        <v>112</v>
      </c>
      <c r="V146" t="s">
        <v>37</v>
      </c>
      <c r="W146">
        <v>450</v>
      </c>
      <c r="X146">
        <v>60</v>
      </c>
      <c r="Y146" t="s">
        <v>38</v>
      </c>
      <c r="Z146">
        <v>20</v>
      </c>
      <c r="AA146" t="s">
        <v>39</v>
      </c>
      <c r="AB146">
        <v>20</v>
      </c>
      <c r="AC146" t="s">
        <v>40</v>
      </c>
    </row>
    <row r="147" spans="1:29" x14ac:dyDescent="0.25">
      <c r="A147" t="str">
        <f t="shared" si="0"/>
        <v>EEM_EG_Pavlovagyrans_raw_002_003_D8.csv</v>
      </c>
      <c r="B147" t="s">
        <v>29</v>
      </c>
      <c r="C147" t="s">
        <v>30</v>
      </c>
      <c r="D147" t="s">
        <v>30</v>
      </c>
      <c r="E147" t="s">
        <v>31</v>
      </c>
      <c r="F147">
        <v>2</v>
      </c>
      <c r="G147">
        <v>3</v>
      </c>
      <c r="H147" t="s">
        <v>75</v>
      </c>
      <c r="I147" t="s">
        <v>33</v>
      </c>
      <c r="J147" t="s">
        <v>34</v>
      </c>
      <c r="K147" s="1">
        <v>9.4600000000000004E-2</v>
      </c>
      <c r="L147" t="s">
        <v>30</v>
      </c>
      <c r="M147">
        <v>22</v>
      </c>
      <c r="N147" t="s">
        <v>86</v>
      </c>
      <c r="O147" t="s">
        <v>242</v>
      </c>
      <c r="P147">
        <v>0</v>
      </c>
      <c r="Q147">
        <v>50</v>
      </c>
      <c r="R147" t="s">
        <v>36</v>
      </c>
      <c r="S147">
        <v>12</v>
      </c>
      <c r="T147">
        <v>12</v>
      </c>
      <c r="U147" t="s">
        <v>112</v>
      </c>
      <c r="V147" t="s">
        <v>37</v>
      </c>
      <c r="W147">
        <v>450</v>
      </c>
      <c r="X147">
        <v>60</v>
      </c>
      <c r="Y147" t="s">
        <v>38</v>
      </c>
      <c r="Z147">
        <v>20</v>
      </c>
      <c r="AA147" t="s">
        <v>39</v>
      </c>
      <c r="AB147">
        <v>20</v>
      </c>
      <c r="AC147" t="s">
        <v>40</v>
      </c>
    </row>
    <row r="148" spans="1:29" x14ac:dyDescent="0.25">
      <c r="A148" t="str">
        <f t="shared" si="0"/>
        <v>EEM_EG_Pavlovagyrans_raw_002_003_E1.csv</v>
      </c>
      <c r="B148" t="s">
        <v>29</v>
      </c>
      <c r="C148" t="s">
        <v>30</v>
      </c>
      <c r="D148" t="s">
        <v>30</v>
      </c>
      <c r="E148" t="s">
        <v>31</v>
      </c>
      <c r="F148">
        <v>2</v>
      </c>
      <c r="G148">
        <v>3</v>
      </c>
      <c r="H148" t="s">
        <v>155</v>
      </c>
      <c r="I148" t="s">
        <v>33</v>
      </c>
      <c r="J148" t="s">
        <v>34</v>
      </c>
      <c r="K148" s="1">
        <v>0.16689999999999999</v>
      </c>
      <c r="L148" t="s">
        <v>30</v>
      </c>
      <c r="M148">
        <v>22</v>
      </c>
      <c r="N148" t="s">
        <v>35</v>
      </c>
      <c r="O148" t="s">
        <v>242</v>
      </c>
      <c r="P148">
        <v>0</v>
      </c>
      <c r="Q148">
        <v>50</v>
      </c>
      <c r="R148" t="s">
        <v>36</v>
      </c>
      <c r="S148">
        <v>12</v>
      </c>
      <c r="T148">
        <v>12</v>
      </c>
      <c r="U148" t="s">
        <v>112</v>
      </c>
      <c r="V148" t="s">
        <v>37</v>
      </c>
      <c r="W148">
        <v>450</v>
      </c>
      <c r="X148">
        <v>60</v>
      </c>
      <c r="Y148" t="s">
        <v>38</v>
      </c>
      <c r="Z148">
        <v>20</v>
      </c>
      <c r="AA148" t="s">
        <v>39</v>
      </c>
      <c r="AB148">
        <v>20</v>
      </c>
      <c r="AC148" t="s">
        <v>40</v>
      </c>
    </row>
    <row r="149" spans="1:29" x14ac:dyDescent="0.25">
      <c r="A149" t="str">
        <f t="shared" si="0"/>
        <v>EEM_EG_Pavlovagyrans_raw_002_003_E2.csv</v>
      </c>
      <c r="B149" t="s">
        <v>29</v>
      </c>
      <c r="C149" t="s">
        <v>30</v>
      </c>
      <c r="D149" t="s">
        <v>30</v>
      </c>
      <c r="E149" t="s">
        <v>31</v>
      </c>
      <c r="F149">
        <v>2</v>
      </c>
      <c r="G149">
        <v>3</v>
      </c>
      <c r="H149" t="s">
        <v>79</v>
      </c>
      <c r="I149" t="s">
        <v>33</v>
      </c>
      <c r="J149" t="s">
        <v>34</v>
      </c>
      <c r="K149" s="1">
        <v>8.09E-2</v>
      </c>
      <c r="L149" t="s">
        <v>30</v>
      </c>
      <c r="M149">
        <v>22</v>
      </c>
      <c r="N149" t="s">
        <v>80</v>
      </c>
      <c r="O149" t="s">
        <v>242</v>
      </c>
      <c r="P149">
        <v>0</v>
      </c>
      <c r="Q149">
        <v>50</v>
      </c>
      <c r="R149" t="s">
        <v>36</v>
      </c>
      <c r="S149">
        <v>12</v>
      </c>
      <c r="T149">
        <v>12</v>
      </c>
      <c r="U149" t="s">
        <v>112</v>
      </c>
      <c r="V149" t="s">
        <v>37</v>
      </c>
      <c r="W149">
        <v>450</v>
      </c>
      <c r="X149">
        <v>60</v>
      </c>
      <c r="Y149" t="s">
        <v>38</v>
      </c>
      <c r="Z149">
        <v>20</v>
      </c>
      <c r="AA149" t="s">
        <v>39</v>
      </c>
      <c r="AB149">
        <v>20</v>
      </c>
      <c r="AC149" t="s">
        <v>40</v>
      </c>
    </row>
    <row r="150" spans="1:29" x14ac:dyDescent="0.25">
      <c r="A150" t="str">
        <f t="shared" si="0"/>
        <v>EEM_EG_Pavlovagyrans_raw_002_003_E3.csv</v>
      </c>
      <c r="B150" t="s">
        <v>29</v>
      </c>
      <c r="C150" t="s">
        <v>30</v>
      </c>
      <c r="D150" t="s">
        <v>30</v>
      </c>
      <c r="E150" t="s">
        <v>31</v>
      </c>
      <c r="F150">
        <v>2</v>
      </c>
      <c r="G150">
        <v>3</v>
      </c>
      <c r="H150" t="s">
        <v>81</v>
      </c>
      <c r="I150" t="s">
        <v>33</v>
      </c>
      <c r="J150" t="s">
        <v>34</v>
      </c>
      <c r="K150" s="1">
        <v>7.5200000000000003E-2</v>
      </c>
      <c r="L150" t="s">
        <v>30</v>
      </c>
      <c r="M150">
        <v>22</v>
      </c>
      <c r="N150" t="s">
        <v>42</v>
      </c>
      <c r="O150" t="s">
        <v>242</v>
      </c>
      <c r="P150">
        <v>0</v>
      </c>
      <c r="Q150">
        <v>50</v>
      </c>
      <c r="R150" t="s">
        <v>36</v>
      </c>
      <c r="S150">
        <v>12</v>
      </c>
      <c r="T150">
        <v>12</v>
      </c>
      <c r="U150" t="s">
        <v>112</v>
      </c>
      <c r="V150" t="s">
        <v>37</v>
      </c>
      <c r="W150">
        <v>450</v>
      </c>
      <c r="X150">
        <v>60</v>
      </c>
      <c r="Y150" t="s">
        <v>38</v>
      </c>
      <c r="Z150">
        <v>20</v>
      </c>
      <c r="AA150" t="s">
        <v>39</v>
      </c>
      <c r="AB150">
        <v>20</v>
      </c>
      <c r="AC150" t="s">
        <v>40</v>
      </c>
    </row>
    <row r="151" spans="1:29" x14ac:dyDescent="0.25">
      <c r="A151" t="str">
        <f t="shared" si="0"/>
        <v>EEM_EG_Pavlovagyrans_raw_002_003_E4.csv</v>
      </c>
      <c r="B151" t="s">
        <v>29</v>
      </c>
      <c r="C151" t="s">
        <v>30</v>
      </c>
      <c r="D151" t="s">
        <v>30</v>
      </c>
      <c r="E151" t="s">
        <v>31</v>
      </c>
      <c r="F151">
        <v>2</v>
      </c>
      <c r="G151">
        <v>3</v>
      </c>
      <c r="H151" t="s">
        <v>83</v>
      </c>
      <c r="I151" t="s">
        <v>33</v>
      </c>
      <c r="J151" t="s">
        <v>34</v>
      </c>
      <c r="K151" s="1">
        <v>7.6499999999999999E-2</v>
      </c>
      <c r="L151" t="s">
        <v>30</v>
      </c>
      <c r="M151">
        <v>22</v>
      </c>
      <c r="N151" t="s">
        <v>82</v>
      </c>
      <c r="O151" t="s">
        <v>242</v>
      </c>
      <c r="P151">
        <v>0</v>
      </c>
      <c r="Q151">
        <v>50</v>
      </c>
      <c r="R151" t="s">
        <v>36</v>
      </c>
      <c r="S151">
        <v>12</v>
      </c>
      <c r="T151">
        <v>12</v>
      </c>
      <c r="U151" t="s">
        <v>112</v>
      </c>
      <c r="V151" t="s">
        <v>37</v>
      </c>
      <c r="W151">
        <v>450</v>
      </c>
      <c r="X151">
        <v>60</v>
      </c>
      <c r="Y151" t="s">
        <v>38</v>
      </c>
      <c r="Z151">
        <v>20</v>
      </c>
      <c r="AA151" t="s">
        <v>39</v>
      </c>
      <c r="AB151">
        <v>20</v>
      </c>
      <c r="AC151" t="s">
        <v>40</v>
      </c>
    </row>
    <row r="152" spans="1:29" x14ac:dyDescent="0.25">
      <c r="A152" t="str">
        <f t="shared" si="0"/>
        <v>EEM_EG_Pavlovagyrans_raw_002_003_E5.csv</v>
      </c>
      <c r="B152" t="s">
        <v>29</v>
      </c>
      <c r="C152" t="s">
        <v>30</v>
      </c>
      <c r="D152" t="s">
        <v>30</v>
      </c>
      <c r="E152" t="s">
        <v>31</v>
      </c>
      <c r="F152">
        <v>2</v>
      </c>
      <c r="G152">
        <v>3</v>
      </c>
      <c r="H152" t="s">
        <v>85</v>
      </c>
      <c r="I152" t="s">
        <v>33</v>
      </c>
      <c r="J152" t="s">
        <v>34</v>
      </c>
      <c r="K152" s="1">
        <v>8.6099999999999996E-2</v>
      </c>
      <c r="L152" t="s">
        <v>30</v>
      </c>
      <c r="M152">
        <v>22</v>
      </c>
      <c r="N152" t="s">
        <v>44</v>
      </c>
      <c r="O152" t="s">
        <v>242</v>
      </c>
      <c r="P152">
        <v>0</v>
      </c>
      <c r="Q152">
        <v>50</v>
      </c>
      <c r="R152" t="s">
        <v>36</v>
      </c>
      <c r="S152">
        <v>12</v>
      </c>
      <c r="T152">
        <v>12</v>
      </c>
      <c r="U152" t="s">
        <v>112</v>
      </c>
      <c r="V152" t="s">
        <v>37</v>
      </c>
      <c r="W152">
        <v>450</v>
      </c>
      <c r="X152">
        <v>60</v>
      </c>
      <c r="Y152" t="s">
        <v>38</v>
      </c>
      <c r="Z152">
        <v>20</v>
      </c>
      <c r="AA152" t="s">
        <v>39</v>
      </c>
      <c r="AB152">
        <v>20</v>
      </c>
      <c r="AC152" t="s">
        <v>40</v>
      </c>
    </row>
    <row r="153" spans="1:29" x14ac:dyDescent="0.25">
      <c r="A153" t="str">
        <f t="shared" si="0"/>
        <v>EEM_EG_Pavlovagyrans_raw_002_003_E6.csv</v>
      </c>
      <c r="B153" t="s">
        <v>29</v>
      </c>
      <c r="C153" t="s">
        <v>30</v>
      </c>
      <c r="D153" t="s">
        <v>30</v>
      </c>
      <c r="E153" t="s">
        <v>31</v>
      </c>
      <c r="F153">
        <v>2</v>
      </c>
      <c r="G153">
        <v>3</v>
      </c>
      <c r="H153" t="s">
        <v>87</v>
      </c>
      <c r="I153" t="s">
        <v>33</v>
      </c>
      <c r="J153" t="s">
        <v>34</v>
      </c>
      <c r="K153" s="1">
        <v>7.7200000000000005E-2</v>
      </c>
      <c r="L153" t="s">
        <v>30</v>
      </c>
      <c r="M153">
        <v>22</v>
      </c>
      <c r="N153" t="s">
        <v>84</v>
      </c>
      <c r="O153" t="s">
        <v>242</v>
      </c>
      <c r="P153">
        <v>0</v>
      </c>
      <c r="Q153">
        <v>50</v>
      </c>
      <c r="R153" t="s">
        <v>36</v>
      </c>
      <c r="S153">
        <v>12</v>
      </c>
      <c r="T153">
        <v>12</v>
      </c>
      <c r="U153" t="s">
        <v>112</v>
      </c>
      <c r="V153" t="s">
        <v>37</v>
      </c>
      <c r="W153">
        <v>450</v>
      </c>
      <c r="X153">
        <v>60</v>
      </c>
      <c r="Y153" t="s">
        <v>38</v>
      </c>
      <c r="Z153">
        <v>20</v>
      </c>
      <c r="AA153" t="s">
        <v>39</v>
      </c>
      <c r="AB153">
        <v>20</v>
      </c>
      <c r="AC153" t="s">
        <v>40</v>
      </c>
    </row>
    <row r="154" spans="1:29" x14ac:dyDescent="0.25">
      <c r="A154" t="str">
        <f t="shared" si="0"/>
        <v>EEM_EG_Pavlovagyrans_raw_002_003_E7.csv</v>
      </c>
      <c r="B154" t="s">
        <v>29</v>
      </c>
      <c r="C154" t="s">
        <v>30</v>
      </c>
      <c r="D154" t="s">
        <v>30</v>
      </c>
      <c r="E154" t="s">
        <v>31</v>
      </c>
      <c r="F154">
        <v>2</v>
      </c>
      <c r="G154">
        <v>3</v>
      </c>
      <c r="H154" t="s">
        <v>89</v>
      </c>
      <c r="I154" t="s">
        <v>33</v>
      </c>
      <c r="J154" t="s">
        <v>34</v>
      </c>
      <c r="K154" s="1">
        <v>8.5300000000000001E-2</v>
      </c>
      <c r="L154" t="s">
        <v>30</v>
      </c>
      <c r="M154">
        <v>22</v>
      </c>
      <c r="N154" t="s">
        <v>46</v>
      </c>
      <c r="O154" t="s">
        <v>242</v>
      </c>
      <c r="P154">
        <v>0</v>
      </c>
      <c r="Q154">
        <v>50</v>
      </c>
      <c r="R154" t="s">
        <v>36</v>
      </c>
      <c r="S154">
        <v>12</v>
      </c>
      <c r="T154">
        <v>12</v>
      </c>
      <c r="U154" t="s">
        <v>112</v>
      </c>
      <c r="V154" t="s">
        <v>37</v>
      </c>
      <c r="W154">
        <v>450</v>
      </c>
      <c r="X154">
        <v>60</v>
      </c>
      <c r="Y154" t="s">
        <v>38</v>
      </c>
      <c r="Z154">
        <v>20</v>
      </c>
      <c r="AA154" t="s">
        <v>39</v>
      </c>
      <c r="AB154">
        <v>20</v>
      </c>
      <c r="AC154" t="s">
        <v>40</v>
      </c>
    </row>
    <row r="155" spans="1:29" x14ac:dyDescent="0.25">
      <c r="A155" t="str">
        <f t="shared" si="0"/>
        <v>EEM_EG_Pavlovagyrans_raw_002_003_E8.csv</v>
      </c>
      <c r="B155" t="s">
        <v>29</v>
      </c>
      <c r="C155" t="s">
        <v>30</v>
      </c>
      <c r="D155" t="s">
        <v>30</v>
      </c>
      <c r="E155" t="s">
        <v>31</v>
      </c>
      <c r="F155">
        <v>2</v>
      </c>
      <c r="G155">
        <v>3</v>
      </c>
      <c r="H155" t="s">
        <v>91</v>
      </c>
      <c r="I155" t="s">
        <v>33</v>
      </c>
      <c r="J155" t="s">
        <v>34</v>
      </c>
      <c r="K155" s="1">
        <v>7.2300000000000003E-2</v>
      </c>
      <c r="L155" t="s">
        <v>30</v>
      </c>
      <c r="M155">
        <v>22</v>
      </c>
      <c r="N155" t="s">
        <v>86</v>
      </c>
      <c r="O155" t="s">
        <v>242</v>
      </c>
      <c r="P155">
        <v>0</v>
      </c>
      <c r="Q155">
        <v>50</v>
      </c>
      <c r="R155" t="s">
        <v>36</v>
      </c>
      <c r="S155">
        <v>12</v>
      </c>
      <c r="T155">
        <v>12</v>
      </c>
      <c r="U155" t="s">
        <v>112</v>
      </c>
      <c r="V155" t="s">
        <v>37</v>
      </c>
      <c r="W155">
        <v>450</v>
      </c>
      <c r="X155">
        <v>60</v>
      </c>
      <c r="Y155" t="s">
        <v>38</v>
      </c>
      <c r="Z155">
        <v>20</v>
      </c>
      <c r="AA155" t="s">
        <v>39</v>
      </c>
      <c r="AB155">
        <v>20</v>
      </c>
      <c r="AC155" t="s">
        <v>40</v>
      </c>
    </row>
    <row r="156" spans="1:29" x14ac:dyDescent="0.25">
      <c r="A156" t="str">
        <f t="shared" si="0"/>
        <v>EEM_EG_Pavlovagyrans_raw_002_003_F1.csv</v>
      </c>
      <c r="B156" t="s">
        <v>29</v>
      </c>
      <c r="C156" t="s">
        <v>30</v>
      </c>
      <c r="D156" t="s">
        <v>30</v>
      </c>
      <c r="E156" t="s">
        <v>31</v>
      </c>
      <c r="F156">
        <v>2</v>
      </c>
      <c r="G156">
        <v>3</v>
      </c>
      <c r="H156" t="s">
        <v>164</v>
      </c>
      <c r="I156" t="s">
        <v>33</v>
      </c>
      <c r="J156" t="s">
        <v>34</v>
      </c>
      <c r="K156" s="1">
        <v>6.4899999999999999E-2</v>
      </c>
      <c r="L156" t="s">
        <v>30</v>
      </c>
      <c r="M156">
        <v>22</v>
      </c>
      <c r="N156" t="s">
        <v>35</v>
      </c>
      <c r="O156" t="s">
        <v>242</v>
      </c>
      <c r="P156">
        <v>0</v>
      </c>
      <c r="Q156">
        <v>50</v>
      </c>
      <c r="R156" t="s">
        <v>36</v>
      </c>
      <c r="S156">
        <v>12</v>
      </c>
      <c r="T156">
        <v>12</v>
      </c>
      <c r="U156" t="s">
        <v>112</v>
      </c>
      <c r="V156" t="s">
        <v>37</v>
      </c>
      <c r="W156">
        <v>450</v>
      </c>
      <c r="X156">
        <v>60</v>
      </c>
      <c r="Y156" t="s">
        <v>38</v>
      </c>
      <c r="Z156">
        <v>20</v>
      </c>
      <c r="AA156" t="s">
        <v>39</v>
      </c>
      <c r="AB156">
        <v>20</v>
      </c>
      <c r="AC156" t="s">
        <v>40</v>
      </c>
    </row>
    <row r="157" spans="1:29" x14ac:dyDescent="0.25">
      <c r="A157" t="str">
        <f t="shared" si="0"/>
        <v>EEM_EG_Pavlovagyrans_raw_002_003_F2.csv</v>
      </c>
      <c r="B157" t="s">
        <v>29</v>
      </c>
      <c r="C157" t="s">
        <v>30</v>
      </c>
      <c r="D157" t="s">
        <v>30</v>
      </c>
      <c r="E157" t="s">
        <v>31</v>
      </c>
      <c r="F157">
        <v>2</v>
      </c>
      <c r="G157">
        <v>3</v>
      </c>
      <c r="H157" t="s">
        <v>98</v>
      </c>
      <c r="I157" t="s">
        <v>33</v>
      </c>
      <c r="J157" t="s">
        <v>34</v>
      </c>
      <c r="K157" s="1">
        <v>8.2299999999999998E-2</v>
      </c>
      <c r="L157" t="s">
        <v>30</v>
      </c>
      <c r="M157">
        <v>22</v>
      </c>
      <c r="N157" t="s">
        <v>80</v>
      </c>
      <c r="O157" t="s">
        <v>242</v>
      </c>
      <c r="P157">
        <v>0</v>
      </c>
      <c r="Q157">
        <v>50</v>
      </c>
      <c r="R157" t="s">
        <v>36</v>
      </c>
      <c r="S157">
        <v>12</v>
      </c>
      <c r="T157">
        <v>12</v>
      </c>
      <c r="U157" t="s">
        <v>112</v>
      </c>
      <c r="V157" t="s">
        <v>37</v>
      </c>
      <c r="W157">
        <v>450</v>
      </c>
      <c r="X157">
        <v>60</v>
      </c>
      <c r="Y157" t="s">
        <v>38</v>
      </c>
      <c r="Z157">
        <v>20</v>
      </c>
      <c r="AA157" t="s">
        <v>39</v>
      </c>
      <c r="AB157">
        <v>20</v>
      </c>
      <c r="AC157" t="s">
        <v>40</v>
      </c>
    </row>
    <row r="158" spans="1:29" x14ac:dyDescent="0.25">
      <c r="A158" t="str">
        <f t="shared" si="0"/>
        <v>EEM_EG_Pavlovagyrans_raw_002_003_F3.csv</v>
      </c>
      <c r="B158" t="s">
        <v>29</v>
      </c>
      <c r="C158" t="s">
        <v>30</v>
      </c>
      <c r="D158" t="s">
        <v>30</v>
      </c>
      <c r="E158" t="s">
        <v>31</v>
      </c>
      <c r="F158">
        <v>2</v>
      </c>
      <c r="G158">
        <v>3</v>
      </c>
      <c r="H158" t="s">
        <v>99</v>
      </c>
      <c r="I158" t="s">
        <v>33</v>
      </c>
      <c r="J158" t="s">
        <v>34</v>
      </c>
      <c r="K158" s="1">
        <v>8.0100000000000005E-2</v>
      </c>
      <c r="L158" t="s">
        <v>30</v>
      </c>
      <c r="M158">
        <v>22</v>
      </c>
      <c r="N158" t="s">
        <v>42</v>
      </c>
      <c r="O158" t="s">
        <v>242</v>
      </c>
      <c r="P158">
        <v>0</v>
      </c>
      <c r="Q158">
        <v>50</v>
      </c>
      <c r="R158" t="s">
        <v>36</v>
      </c>
      <c r="S158">
        <v>12</v>
      </c>
      <c r="T158">
        <v>12</v>
      </c>
      <c r="U158" t="s">
        <v>112</v>
      </c>
      <c r="V158" t="s">
        <v>37</v>
      </c>
      <c r="W158">
        <v>450</v>
      </c>
      <c r="X158">
        <v>60</v>
      </c>
      <c r="Y158" t="s">
        <v>38</v>
      </c>
      <c r="Z158">
        <v>20</v>
      </c>
      <c r="AA158" t="s">
        <v>39</v>
      </c>
      <c r="AB158">
        <v>20</v>
      </c>
      <c r="AC158" t="s">
        <v>40</v>
      </c>
    </row>
    <row r="159" spans="1:29" x14ac:dyDescent="0.25">
      <c r="A159" t="str">
        <f t="shared" si="0"/>
        <v>EEM_EG_Pavlovagyrans_raw_002_003_F4.csv</v>
      </c>
      <c r="B159" t="s">
        <v>29</v>
      </c>
      <c r="C159" t="s">
        <v>30</v>
      </c>
      <c r="D159" t="s">
        <v>30</v>
      </c>
      <c r="E159" t="s">
        <v>31</v>
      </c>
      <c r="F159">
        <v>2</v>
      </c>
      <c r="G159">
        <v>3</v>
      </c>
      <c r="H159" t="s">
        <v>100</v>
      </c>
      <c r="I159" t="s">
        <v>33</v>
      </c>
      <c r="J159" t="s">
        <v>34</v>
      </c>
      <c r="K159" s="1">
        <v>7.4800000000000005E-2</v>
      </c>
      <c r="L159" t="s">
        <v>30</v>
      </c>
      <c r="M159">
        <v>22</v>
      </c>
      <c r="N159" t="s">
        <v>82</v>
      </c>
      <c r="O159" t="s">
        <v>242</v>
      </c>
      <c r="P159">
        <v>0</v>
      </c>
      <c r="Q159">
        <v>50</v>
      </c>
      <c r="R159" t="s">
        <v>36</v>
      </c>
      <c r="S159">
        <v>12</v>
      </c>
      <c r="T159">
        <v>12</v>
      </c>
      <c r="U159" t="s">
        <v>112</v>
      </c>
      <c r="V159" t="s">
        <v>37</v>
      </c>
      <c r="W159">
        <v>450</v>
      </c>
      <c r="X159">
        <v>60</v>
      </c>
      <c r="Y159" t="s">
        <v>38</v>
      </c>
      <c r="Z159">
        <v>20</v>
      </c>
      <c r="AA159" t="s">
        <v>39</v>
      </c>
      <c r="AB159">
        <v>20</v>
      </c>
      <c r="AC159" t="s">
        <v>40</v>
      </c>
    </row>
    <row r="160" spans="1:29" x14ac:dyDescent="0.25">
      <c r="A160" t="str">
        <f t="shared" si="0"/>
        <v>EEM_EG_Pavlovagyrans_raw_002_003_F5.csv</v>
      </c>
      <c r="B160" t="s">
        <v>29</v>
      </c>
      <c r="C160" t="s">
        <v>30</v>
      </c>
      <c r="D160" t="s">
        <v>30</v>
      </c>
      <c r="E160" t="s">
        <v>31</v>
      </c>
      <c r="F160">
        <v>2</v>
      </c>
      <c r="G160">
        <v>3</v>
      </c>
      <c r="H160" t="s">
        <v>101</v>
      </c>
      <c r="I160" t="s">
        <v>33</v>
      </c>
      <c r="J160" t="s">
        <v>34</v>
      </c>
      <c r="K160" s="1">
        <v>7.3999999999999996E-2</v>
      </c>
      <c r="L160" t="s">
        <v>30</v>
      </c>
      <c r="M160">
        <v>22</v>
      </c>
      <c r="N160" t="s">
        <v>44</v>
      </c>
      <c r="O160" t="s">
        <v>242</v>
      </c>
      <c r="P160">
        <v>0</v>
      </c>
      <c r="Q160">
        <v>50</v>
      </c>
      <c r="R160" t="s">
        <v>36</v>
      </c>
      <c r="S160">
        <v>12</v>
      </c>
      <c r="T160">
        <v>12</v>
      </c>
      <c r="U160" t="s">
        <v>112</v>
      </c>
      <c r="V160" t="s">
        <v>37</v>
      </c>
      <c r="W160">
        <v>450</v>
      </c>
      <c r="X160">
        <v>60</v>
      </c>
      <c r="Y160" t="s">
        <v>38</v>
      </c>
      <c r="Z160">
        <v>20</v>
      </c>
      <c r="AA160" t="s">
        <v>39</v>
      </c>
      <c r="AB160">
        <v>20</v>
      </c>
      <c r="AC160" t="s">
        <v>40</v>
      </c>
    </row>
    <row r="161" spans="1:29" x14ac:dyDescent="0.25">
      <c r="A161" t="str">
        <f t="shared" si="0"/>
        <v>EEM_EG_Pavlovagyrans_raw_002_003_F6.csv</v>
      </c>
      <c r="B161" t="s">
        <v>29</v>
      </c>
      <c r="C161" t="s">
        <v>30</v>
      </c>
      <c r="D161" t="s">
        <v>30</v>
      </c>
      <c r="E161" t="s">
        <v>31</v>
      </c>
      <c r="F161">
        <v>2</v>
      </c>
      <c r="G161">
        <v>3</v>
      </c>
      <c r="H161" t="s">
        <v>102</v>
      </c>
      <c r="I161" t="s">
        <v>33</v>
      </c>
      <c r="J161" t="s">
        <v>34</v>
      </c>
      <c r="K161" s="1">
        <v>7.1199999999999999E-2</v>
      </c>
      <c r="L161" t="s">
        <v>30</v>
      </c>
      <c r="M161">
        <v>22</v>
      </c>
      <c r="N161" t="s">
        <v>84</v>
      </c>
      <c r="O161" t="s">
        <v>242</v>
      </c>
      <c r="P161">
        <v>0</v>
      </c>
      <c r="Q161">
        <v>50</v>
      </c>
      <c r="R161" t="s">
        <v>36</v>
      </c>
      <c r="S161">
        <v>12</v>
      </c>
      <c r="T161">
        <v>12</v>
      </c>
      <c r="U161" t="s">
        <v>112</v>
      </c>
      <c r="V161" t="s">
        <v>37</v>
      </c>
      <c r="W161">
        <v>450</v>
      </c>
      <c r="X161">
        <v>60</v>
      </c>
      <c r="Y161" t="s">
        <v>38</v>
      </c>
      <c r="Z161">
        <v>20</v>
      </c>
      <c r="AA161" t="s">
        <v>39</v>
      </c>
      <c r="AB161">
        <v>20</v>
      </c>
      <c r="AC161" t="s">
        <v>40</v>
      </c>
    </row>
    <row r="162" spans="1:29" x14ac:dyDescent="0.25">
      <c r="A162" t="str">
        <f t="shared" si="0"/>
        <v>EEM_EG_Pavlovagyrans_raw_002_003_F7.csv</v>
      </c>
      <c r="B162" t="s">
        <v>29</v>
      </c>
      <c r="C162" t="s">
        <v>30</v>
      </c>
      <c r="D162" t="s">
        <v>30</v>
      </c>
      <c r="E162" t="s">
        <v>31</v>
      </c>
      <c r="F162">
        <v>2</v>
      </c>
      <c r="G162">
        <v>3</v>
      </c>
      <c r="H162" t="s">
        <v>103</v>
      </c>
      <c r="I162" t="s">
        <v>33</v>
      </c>
      <c r="J162" t="s">
        <v>34</v>
      </c>
      <c r="K162" s="1">
        <v>8.6300000000000002E-2</v>
      </c>
      <c r="L162" t="s">
        <v>30</v>
      </c>
      <c r="M162">
        <v>22</v>
      </c>
      <c r="N162" t="s">
        <v>46</v>
      </c>
      <c r="O162" t="s">
        <v>242</v>
      </c>
      <c r="P162">
        <v>0</v>
      </c>
      <c r="Q162">
        <v>50</v>
      </c>
      <c r="R162" t="s">
        <v>36</v>
      </c>
      <c r="S162">
        <v>12</v>
      </c>
      <c r="T162">
        <v>12</v>
      </c>
      <c r="U162" t="s">
        <v>112</v>
      </c>
      <c r="V162" t="s">
        <v>37</v>
      </c>
      <c r="W162">
        <v>450</v>
      </c>
      <c r="X162">
        <v>60</v>
      </c>
      <c r="Y162" t="s">
        <v>38</v>
      </c>
      <c r="Z162">
        <v>20</v>
      </c>
      <c r="AA162" t="s">
        <v>39</v>
      </c>
      <c r="AB162">
        <v>20</v>
      </c>
      <c r="AC162" t="s">
        <v>40</v>
      </c>
    </row>
    <row r="163" spans="1:29" x14ac:dyDescent="0.25">
      <c r="A163" t="str">
        <f t="shared" si="0"/>
        <v>EEM_EG_Pavlovagyrans_raw_002_003_F8.csv</v>
      </c>
      <c r="B163" t="s">
        <v>29</v>
      </c>
      <c r="C163" t="s">
        <v>30</v>
      </c>
      <c r="D163" t="s">
        <v>30</v>
      </c>
      <c r="E163" t="s">
        <v>31</v>
      </c>
      <c r="F163">
        <v>2</v>
      </c>
      <c r="G163">
        <v>3</v>
      </c>
      <c r="H163" t="s">
        <v>104</v>
      </c>
      <c r="I163" t="s">
        <v>33</v>
      </c>
      <c r="J163" t="s">
        <v>34</v>
      </c>
      <c r="K163" s="1">
        <v>9.4799999999999995E-2</v>
      </c>
      <c r="L163" t="s">
        <v>30</v>
      </c>
      <c r="M163">
        <v>22</v>
      </c>
      <c r="N163" t="s">
        <v>86</v>
      </c>
      <c r="O163" t="s">
        <v>242</v>
      </c>
      <c r="P163">
        <v>0</v>
      </c>
      <c r="Q163">
        <v>50</v>
      </c>
      <c r="R163" t="s">
        <v>36</v>
      </c>
      <c r="S163">
        <v>12</v>
      </c>
      <c r="T163">
        <v>12</v>
      </c>
      <c r="U163" t="s">
        <v>112</v>
      </c>
      <c r="V163" t="s">
        <v>37</v>
      </c>
      <c r="W163">
        <v>450</v>
      </c>
      <c r="X163">
        <v>60</v>
      </c>
      <c r="Y163" t="s">
        <v>38</v>
      </c>
      <c r="Z163">
        <v>20</v>
      </c>
      <c r="AA163" t="s">
        <v>39</v>
      </c>
      <c r="AB163">
        <v>20</v>
      </c>
      <c r="AC163" t="s">
        <v>40</v>
      </c>
    </row>
    <row r="164" spans="1:29" x14ac:dyDescent="0.25">
      <c r="A164" t="str">
        <f>"EEM_EG_Pavlovagyrans_raw_002_004_"&amp;H164&amp;".csv"</f>
        <v>EEM_EG_Pavlovagyrans_raw_002_004_A1.csv</v>
      </c>
      <c r="B164" t="s">
        <v>29</v>
      </c>
      <c r="C164" t="s">
        <v>30</v>
      </c>
      <c r="D164" t="s">
        <v>30</v>
      </c>
      <c r="E164" t="s">
        <v>31</v>
      </c>
      <c r="F164">
        <v>2</v>
      </c>
      <c r="G164">
        <v>4</v>
      </c>
      <c r="H164" t="s">
        <v>110</v>
      </c>
      <c r="I164" t="s">
        <v>33</v>
      </c>
      <c r="J164" t="s">
        <v>34</v>
      </c>
      <c r="K164" s="1">
        <v>6.7900000000000002E-2</v>
      </c>
      <c r="L164" t="s">
        <v>30</v>
      </c>
      <c r="M164">
        <v>22</v>
      </c>
      <c r="N164" t="s">
        <v>48</v>
      </c>
      <c r="O164" t="s">
        <v>243</v>
      </c>
      <c r="P164">
        <v>0</v>
      </c>
      <c r="Q164">
        <v>50</v>
      </c>
      <c r="R164" t="s">
        <v>36</v>
      </c>
      <c r="S164">
        <v>12</v>
      </c>
      <c r="T164">
        <v>12</v>
      </c>
      <c r="U164" t="s">
        <v>112</v>
      </c>
      <c r="V164" t="s">
        <v>37</v>
      </c>
      <c r="W164">
        <v>450</v>
      </c>
      <c r="X164">
        <v>60</v>
      </c>
      <c r="Y164" t="s">
        <v>38</v>
      </c>
      <c r="Z164">
        <v>20</v>
      </c>
      <c r="AA164" t="s">
        <v>39</v>
      </c>
      <c r="AB164">
        <v>20</v>
      </c>
      <c r="AC164" t="s">
        <v>40</v>
      </c>
    </row>
    <row r="165" spans="1:29" x14ac:dyDescent="0.25">
      <c r="A165" t="str">
        <f t="shared" ref="A165:A228" si="1">"EEM_EG_Pavlovagyrans_raw_002_004_"&amp;H165&amp;".csv"</f>
        <v>EEM_EG_Pavlovagyrans_raw_002_004_A2.csv</v>
      </c>
      <c r="B165" t="s">
        <v>29</v>
      </c>
      <c r="C165" t="s">
        <v>30</v>
      </c>
      <c r="D165" t="s">
        <v>30</v>
      </c>
      <c r="E165" t="s">
        <v>31</v>
      </c>
      <c r="F165">
        <v>2</v>
      </c>
      <c r="G165">
        <v>4</v>
      </c>
      <c r="H165" t="s">
        <v>114</v>
      </c>
      <c r="I165" t="s">
        <v>33</v>
      </c>
      <c r="J165" t="s">
        <v>34</v>
      </c>
      <c r="K165" s="1">
        <v>7.1999999999999995E-2</v>
      </c>
      <c r="L165" t="s">
        <v>30</v>
      </c>
      <c r="M165">
        <v>22</v>
      </c>
      <c r="N165" t="s">
        <v>88</v>
      </c>
      <c r="O165" t="s">
        <v>243</v>
      </c>
      <c r="P165">
        <v>0</v>
      </c>
      <c r="Q165">
        <v>50</v>
      </c>
      <c r="R165" t="s">
        <v>36</v>
      </c>
      <c r="S165">
        <v>12</v>
      </c>
      <c r="T165">
        <v>12</v>
      </c>
      <c r="U165" t="s">
        <v>112</v>
      </c>
      <c r="V165" t="s">
        <v>37</v>
      </c>
      <c r="W165">
        <v>450</v>
      </c>
      <c r="X165">
        <v>60</v>
      </c>
      <c r="Y165" t="s">
        <v>38</v>
      </c>
      <c r="Z165">
        <v>20</v>
      </c>
      <c r="AA165" t="s">
        <v>39</v>
      </c>
      <c r="AB165">
        <v>20</v>
      </c>
      <c r="AC165" t="s">
        <v>40</v>
      </c>
    </row>
    <row r="166" spans="1:29" x14ac:dyDescent="0.25">
      <c r="A166" t="str">
        <f t="shared" si="1"/>
        <v>EEM_EG_Pavlovagyrans_raw_002_004_A3.csv</v>
      </c>
      <c r="B166" t="s">
        <v>29</v>
      </c>
      <c r="C166" t="s">
        <v>30</v>
      </c>
      <c r="D166" t="s">
        <v>30</v>
      </c>
      <c r="E166" t="s">
        <v>31</v>
      </c>
      <c r="F166">
        <v>2</v>
      </c>
      <c r="G166">
        <v>4</v>
      </c>
      <c r="H166" t="s">
        <v>116</v>
      </c>
      <c r="I166" t="s">
        <v>33</v>
      </c>
      <c r="J166" t="s">
        <v>34</v>
      </c>
      <c r="K166" s="1">
        <v>6.8000000000000005E-2</v>
      </c>
      <c r="L166" t="s">
        <v>30</v>
      </c>
      <c r="M166">
        <v>22</v>
      </c>
      <c r="N166" t="s">
        <v>50</v>
      </c>
      <c r="O166" t="s">
        <v>243</v>
      </c>
      <c r="P166">
        <v>0</v>
      </c>
      <c r="Q166">
        <v>50</v>
      </c>
      <c r="R166" t="s">
        <v>36</v>
      </c>
      <c r="S166">
        <v>12</v>
      </c>
      <c r="T166">
        <v>12</v>
      </c>
      <c r="U166" t="s">
        <v>112</v>
      </c>
      <c r="V166" t="s">
        <v>37</v>
      </c>
      <c r="W166">
        <v>450</v>
      </c>
      <c r="X166">
        <v>60</v>
      </c>
      <c r="Y166" t="s">
        <v>38</v>
      </c>
      <c r="Z166">
        <v>20</v>
      </c>
      <c r="AA166" t="s">
        <v>39</v>
      </c>
      <c r="AB166">
        <v>20</v>
      </c>
      <c r="AC166" t="s">
        <v>40</v>
      </c>
    </row>
    <row r="167" spans="1:29" x14ac:dyDescent="0.25">
      <c r="A167" t="str">
        <f t="shared" si="1"/>
        <v>EEM_EG_Pavlovagyrans_raw_002_004_A4.csv</v>
      </c>
      <c r="B167" t="s">
        <v>29</v>
      </c>
      <c r="C167" t="s">
        <v>30</v>
      </c>
      <c r="D167" t="s">
        <v>30</v>
      </c>
      <c r="E167" t="s">
        <v>31</v>
      </c>
      <c r="F167">
        <v>2</v>
      </c>
      <c r="G167">
        <v>4</v>
      </c>
      <c r="H167" t="s">
        <v>118</v>
      </c>
      <c r="I167" t="s">
        <v>33</v>
      </c>
      <c r="J167" t="s">
        <v>34</v>
      </c>
      <c r="K167" s="1">
        <v>7.6999999999999999E-2</v>
      </c>
      <c r="L167" t="s">
        <v>30</v>
      </c>
      <c r="M167">
        <v>22</v>
      </c>
      <c r="N167" t="s">
        <v>90</v>
      </c>
      <c r="O167" t="s">
        <v>243</v>
      </c>
      <c r="P167">
        <v>0</v>
      </c>
      <c r="Q167">
        <v>50</v>
      </c>
      <c r="R167" t="s">
        <v>36</v>
      </c>
      <c r="S167">
        <v>12</v>
      </c>
      <c r="T167">
        <v>12</v>
      </c>
      <c r="U167" t="s">
        <v>112</v>
      </c>
      <c r="V167" t="s">
        <v>37</v>
      </c>
      <c r="W167">
        <v>450</v>
      </c>
      <c r="X167">
        <v>60</v>
      </c>
      <c r="Y167" t="s">
        <v>38</v>
      </c>
      <c r="Z167">
        <v>20</v>
      </c>
      <c r="AA167" t="s">
        <v>39</v>
      </c>
      <c r="AB167">
        <v>20</v>
      </c>
      <c r="AC167" t="s">
        <v>40</v>
      </c>
    </row>
    <row r="168" spans="1:29" x14ac:dyDescent="0.25">
      <c r="A168" t="str">
        <f t="shared" si="1"/>
        <v>EEM_EG_Pavlovagyrans_raw_002_004_A5.csv</v>
      </c>
      <c r="B168" t="s">
        <v>29</v>
      </c>
      <c r="C168" t="s">
        <v>30</v>
      </c>
      <c r="D168" t="s">
        <v>30</v>
      </c>
      <c r="E168" t="s">
        <v>31</v>
      </c>
      <c r="F168">
        <v>2</v>
      </c>
      <c r="G168">
        <v>4</v>
      </c>
      <c r="H168" t="s">
        <v>120</v>
      </c>
      <c r="I168" t="s">
        <v>33</v>
      </c>
      <c r="J168" t="s">
        <v>34</v>
      </c>
      <c r="K168" s="1">
        <v>6.9599999999999995E-2</v>
      </c>
      <c r="L168" t="s">
        <v>30</v>
      </c>
      <c r="M168">
        <v>22</v>
      </c>
      <c r="N168" t="s">
        <v>52</v>
      </c>
      <c r="O168" t="s">
        <v>243</v>
      </c>
      <c r="P168">
        <v>0</v>
      </c>
      <c r="Q168">
        <v>50</v>
      </c>
      <c r="R168" t="s">
        <v>36</v>
      </c>
      <c r="S168">
        <v>12</v>
      </c>
      <c r="T168">
        <v>12</v>
      </c>
      <c r="U168" t="s">
        <v>112</v>
      </c>
      <c r="V168" t="s">
        <v>37</v>
      </c>
      <c r="W168">
        <v>450</v>
      </c>
      <c r="X168">
        <v>60</v>
      </c>
      <c r="Y168" t="s">
        <v>38</v>
      </c>
      <c r="Z168">
        <v>20</v>
      </c>
      <c r="AA168" t="s">
        <v>39</v>
      </c>
      <c r="AB168">
        <v>20</v>
      </c>
      <c r="AC168" t="s">
        <v>40</v>
      </c>
    </row>
    <row r="169" spans="1:29" x14ac:dyDescent="0.25">
      <c r="A169" t="str">
        <f t="shared" si="1"/>
        <v>EEM_EG_Pavlovagyrans_raw_002_004_A6.csv</v>
      </c>
      <c r="B169" t="s">
        <v>29</v>
      </c>
      <c r="C169" t="s">
        <v>30</v>
      </c>
      <c r="D169" t="s">
        <v>30</v>
      </c>
      <c r="E169" t="s">
        <v>31</v>
      </c>
      <c r="F169">
        <v>2</v>
      </c>
      <c r="G169">
        <v>4</v>
      </c>
      <c r="H169" t="s">
        <v>122</v>
      </c>
      <c r="I169" t="s">
        <v>33</v>
      </c>
      <c r="J169" t="s">
        <v>34</v>
      </c>
      <c r="K169" s="1">
        <v>7.1999999999999995E-2</v>
      </c>
      <c r="L169" t="s">
        <v>30</v>
      </c>
      <c r="M169">
        <v>22</v>
      </c>
      <c r="N169" t="s">
        <v>92</v>
      </c>
      <c r="O169" t="s">
        <v>243</v>
      </c>
      <c r="P169">
        <v>0</v>
      </c>
      <c r="Q169">
        <v>50</v>
      </c>
      <c r="R169" t="s">
        <v>36</v>
      </c>
      <c r="S169">
        <v>12</v>
      </c>
      <c r="T169">
        <v>12</v>
      </c>
      <c r="U169" t="s">
        <v>112</v>
      </c>
      <c r="V169" t="s">
        <v>37</v>
      </c>
      <c r="W169">
        <v>450</v>
      </c>
      <c r="X169">
        <v>60</v>
      </c>
      <c r="Y169" t="s">
        <v>38</v>
      </c>
      <c r="Z169">
        <v>20</v>
      </c>
      <c r="AA169" t="s">
        <v>39</v>
      </c>
      <c r="AB169">
        <v>20</v>
      </c>
      <c r="AC169" t="s">
        <v>40</v>
      </c>
    </row>
    <row r="170" spans="1:29" x14ac:dyDescent="0.25">
      <c r="A170" t="str">
        <f t="shared" si="1"/>
        <v>EEM_EG_Pavlovagyrans_raw_002_004_A7.csv</v>
      </c>
      <c r="B170" t="s">
        <v>29</v>
      </c>
      <c r="C170" t="s">
        <v>30</v>
      </c>
      <c r="D170" t="s">
        <v>30</v>
      </c>
      <c r="E170" t="s">
        <v>31</v>
      </c>
      <c r="F170">
        <v>2</v>
      </c>
      <c r="G170">
        <v>4</v>
      </c>
      <c r="H170" t="s">
        <v>124</v>
      </c>
      <c r="I170" t="s">
        <v>33</v>
      </c>
      <c r="J170" t="s">
        <v>34</v>
      </c>
      <c r="K170" s="1">
        <v>7.6700000000000004E-2</v>
      </c>
      <c r="L170" t="s">
        <v>30</v>
      </c>
      <c r="M170">
        <v>22</v>
      </c>
      <c r="N170" t="s">
        <v>54</v>
      </c>
      <c r="O170" t="s">
        <v>243</v>
      </c>
      <c r="P170">
        <v>0</v>
      </c>
      <c r="Q170">
        <v>50</v>
      </c>
      <c r="R170" t="s">
        <v>36</v>
      </c>
      <c r="S170">
        <v>12</v>
      </c>
      <c r="T170">
        <v>12</v>
      </c>
      <c r="U170" t="s">
        <v>112</v>
      </c>
      <c r="V170" t="s">
        <v>37</v>
      </c>
      <c r="W170">
        <v>450</v>
      </c>
      <c r="X170">
        <v>60</v>
      </c>
      <c r="Y170" t="s">
        <v>38</v>
      </c>
      <c r="Z170">
        <v>20</v>
      </c>
      <c r="AA170" t="s">
        <v>39</v>
      </c>
      <c r="AB170">
        <v>20</v>
      </c>
      <c r="AC170" t="s">
        <v>40</v>
      </c>
    </row>
    <row r="171" spans="1:29" x14ac:dyDescent="0.25">
      <c r="A171" t="str">
        <f t="shared" si="1"/>
        <v>EEM_EG_Pavlovagyrans_raw_002_004_A8.csv</v>
      </c>
      <c r="B171" t="s">
        <v>29</v>
      </c>
      <c r="C171" t="s">
        <v>30</v>
      </c>
      <c r="D171" t="s">
        <v>30</v>
      </c>
      <c r="E171" t="s">
        <v>31</v>
      </c>
      <c r="F171">
        <v>2</v>
      </c>
      <c r="G171">
        <v>4</v>
      </c>
      <c r="H171" t="s">
        <v>126</v>
      </c>
      <c r="I171" t="s">
        <v>33</v>
      </c>
      <c r="J171" t="s">
        <v>34</v>
      </c>
      <c r="K171" s="1">
        <v>7.3800000000000004E-2</v>
      </c>
      <c r="L171" t="s">
        <v>30</v>
      </c>
      <c r="M171">
        <v>22</v>
      </c>
      <c r="N171" t="s">
        <v>94</v>
      </c>
      <c r="O171" t="s">
        <v>243</v>
      </c>
      <c r="P171">
        <v>0</v>
      </c>
      <c r="Q171">
        <v>50</v>
      </c>
      <c r="R171" t="s">
        <v>36</v>
      </c>
      <c r="S171">
        <v>12</v>
      </c>
      <c r="T171">
        <v>12</v>
      </c>
      <c r="U171" t="s">
        <v>112</v>
      </c>
      <c r="V171" t="s">
        <v>37</v>
      </c>
      <c r="W171">
        <v>450</v>
      </c>
      <c r="X171">
        <v>60</v>
      </c>
      <c r="Y171" t="s">
        <v>38</v>
      </c>
      <c r="Z171">
        <v>20</v>
      </c>
      <c r="AA171" t="s">
        <v>39</v>
      </c>
      <c r="AB171">
        <v>20</v>
      </c>
      <c r="AC171" t="s">
        <v>40</v>
      </c>
    </row>
    <row r="172" spans="1:29" x14ac:dyDescent="0.25">
      <c r="A172" t="str">
        <f t="shared" si="1"/>
        <v>EEM_EG_Pavlovagyrans_raw_002_004_A9.csv</v>
      </c>
      <c r="B172" t="s">
        <v>29</v>
      </c>
      <c r="C172" t="s">
        <v>30</v>
      </c>
      <c r="D172" t="s">
        <v>30</v>
      </c>
      <c r="E172" t="s">
        <v>31</v>
      </c>
      <c r="F172">
        <v>2</v>
      </c>
      <c r="G172">
        <v>4</v>
      </c>
      <c r="H172" t="s">
        <v>182</v>
      </c>
      <c r="I172" t="s">
        <v>33</v>
      </c>
      <c r="J172" t="s">
        <v>34</v>
      </c>
      <c r="K172" s="1">
        <v>7.4700000000000003E-2</v>
      </c>
      <c r="L172" t="s">
        <v>30</v>
      </c>
      <c r="M172">
        <v>22</v>
      </c>
      <c r="N172" t="s">
        <v>56</v>
      </c>
      <c r="O172" t="s">
        <v>243</v>
      </c>
      <c r="P172">
        <v>0</v>
      </c>
      <c r="Q172">
        <v>50</v>
      </c>
      <c r="R172" t="s">
        <v>36</v>
      </c>
      <c r="S172">
        <v>12</v>
      </c>
      <c r="T172">
        <v>12</v>
      </c>
      <c r="U172" t="s">
        <v>112</v>
      </c>
      <c r="V172" t="s">
        <v>37</v>
      </c>
      <c r="W172">
        <v>450</v>
      </c>
      <c r="X172">
        <v>60</v>
      </c>
      <c r="Y172" t="s">
        <v>38</v>
      </c>
      <c r="Z172">
        <v>20</v>
      </c>
      <c r="AA172" t="s">
        <v>39</v>
      </c>
      <c r="AB172">
        <v>20</v>
      </c>
      <c r="AC172" t="s">
        <v>40</v>
      </c>
    </row>
    <row r="173" spans="1:29" x14ac:dyDescent="0.25">
      <c r="A173" t="str">
        <f t="shared" si="1"/>
        <v>EEM_EG_Pavlovagyrans_raw_002_004_A10.csv</v>
      </c>
      <c r="B173" t="s">
        <v>29</v>
      </c>
      <c r="C173" t="s">
        <v>30</v>
      </c>
      <c r="D173" t="s">
        <v>30</v>
      </c>
      <c r="E173" t="s">
        <v>31</v>
      </c>
      <c r="F173">
        <v>2</v>
      </c>
      <c r="G173">
        <v>4</v>
      </c>
      <c r="H173" t="s">
        <v>184</v>
      </c>
      <c r="I173" t="s">
        <v>33</v>
      </c>
      <c r="J173" t="s">
        <v>34</v>
      </c>
      <c r="K173" s="1">
        <v>6.7000000000000004E-2</v>
      </c>
      <c r="L173" t="s">
        <v>30</v>
      </c>
      <c r="M173">
        <v>22</v>
      </c>
      <c r="N173" t="s">
        <v>96</v>
      </c>
      <c r="O173" t="s">
        <v>243</v>
      </c>
      <c r="P173">
        <v>0</v>
      </c>
      <c r="Q173">
        <v>50</v>
      </c>
      <c r="R173" t="s">
        <v>36</v>
      </c>
      <c r="S173">
        <v>12</v>
      </c>
      <c r="T173">
        <v>12</v>
      </c>
      <c r="U173" t="s">
        <v>112</v>
      </c>
      <c r="V173" t="s">
        <v>37</v>
      </c>
      <c r="W173">
        <v>450</v>
      </c>
      <c r="X173">
        <v>60</v>
      </c>
      <c r="Y173" t="s">
        <v>38</v>
      </c>
      <c r="Z173">
        <v>20</v>
      </c>
      <c r="AA173" t="s">
        <v>39</v>
      </c>
      <c r="AB173">
        <v>20</v>
      </c>
      <c r="AC173" t="s">
        <v>40</v>
      </c>
    </row>
    <row r="174" spans="1:29" x14ac:dyDescent="0.25">
      <c r="A174" t="str">
        <f t="shared" si="1"/>
        <v>EEM_EG_Pavlovagyrans_raw_002_004_A11.csv</v>
      </c>
      <c r="B174" t="s">
        <v>29</v>
      </c>
      <c r="C174" t="s">
        <v>30</v>
      </c>
      <c r="D174" t="s">
        <v>30</v>
      </c>
      <c r="E174" t="s">
        <v>31</v>
      </c>
      <c r="F174">
        <v>2</v>
      </c>
      <c r="G174">
        <v>4</v>
      </c>
      <c r="H174" t="s">
        <v>186</v>
      </c>
      <c r="I174" t="s">
        <v>33</v>
      </c>
      <c r="J174" t="s">
        <v>34</v>
      </c>
      <c r="K174" s="1">
        <v>6.9800000000000001E-2</v>
      </c>
      <c r="L174" t="s">
        <v>30</v>
      </c>
      <c r="M174">
        <v>22</v>
      </c>
      <c r="N174" t="s">
        <v>58</v>
      </c>
      <c r="O174" t="s">
        <v>243</v>
      </c>
      <c r="P174">
        <v>0</v>
      </c>
      <c r="Q174">
        <v>50</v>
      </c>
      <c r="R174" t="s">
        <v>36</v>
      </c>
      <c r="S174">
        <v>12</v>
      </c>
      <c r="T174">
        <v>12</v>
      </c>
      <c r="U174" t="s">
        <v>112</v>
      </c>
      <c r="V174" t="s">
        <v>37</v>
      </c>
      <c r="W174">
        <v>450</v>
      </c>
      <c r="X174">
        <v>60</v>
      </c>
      <c r="Y174" t="s">
        <v>38</v>
      </c>
      <c r="Z174">
        <v>20</v>
      </c>
      <c r="AA174" t="s">
        <v>39</v>
      </c>
      <c r="AB174">
        <v>20</v>
      </c>
      <c r="AC174" t="s">
        <v>40</v>
      </c>
    </row>
    <row r="175" spans="1:29" x14ac:dyDescent="0.25">
      <c r="A175" t="str">
        <f t="shared" si="1"/>
        <v>EEM_EG_Pavlovagyrans_raw_002_004_B1.csv</v>
      </c>
      <c r="B175" t="s">
        <v>29</v>
      </c>
      <c r="C175" t="s">
        <v>30</v>
      </c>
      <c r="D175" t="s">
        <v>30</v>
      </c>
      <c r="E175" t="s">
        <v>31</v>
      </c>
      <c r="F175">
        <v>2</v>
      </c>
      <c r="G175">
        <v>4</v>
      </c>
      <c r="H175" t="s">
        <v>128</v>
      </c>
      <c r="I175" t="s">
        <v>33</v>
      </c>
      <c r="J175" t="s">
        <v>34</v>
      </c>
      <c r="K175" s="1">
        <v>6.8099999999999994E-2</v>
      </c>
      <c r="L175" t="s">
        <v>30</v>
      </c>
      <c r="M175">
        <v>22</v>
      </c>
      <c r="N175" t="s">
        <v>48</v>
      </c>
      <c r="O175" t="s">
        <v>243</v>
      </c>
      <c r="P175">
        <v>0</v>
      </c>
      <c r="Q175">
        <v>50</v>
      </c>
      <c r="R175" t="s">
        <v>36</v>
      </c>
      <c r="S175">
        <v>12</v>
      </c>
      <c r="T175">
        <v>12</v>
      </c>
      <c r="U175" t="s">
        <v>112</v>
      </c>
      <c r="V175" t="s">
        <v>37</v>
      </c>
      <c r="W175">
        <v>450</v>
      </c>
      <c r="X175">
        <v>60</v>
      </c>
      <c r="Y175" t="s">
        <v>38</v>
      </c>
      <c r="Z175">
        <v>20</v>
      </c>
      <c r="AA175" t="s">
        <v>39</v>
      </c>
      <c r="AB175">
        <v>20</v>
      </c>
      <c r="AC175" t="s">
        <v>40</v>
      </c>
    </row>
    <row r="176" spans="1:29" x14ac:dyDescent="0.25">
      <c r="A176" t="str">
        <f t="shared" si="1"/>
        <v>EEM_EG_Pavlovagyrans_raw_002_004_B2.csv</v>
      </c>
      <c r="B176" t="s">
        <v>29</v>
      </c>
      <c r="C176" t="s">
        <v>30</v>
      </c>
      <c r="D176" t="s">
        <v>30</v>
      </c>
      <c r="E176" t="s">
        <v>31</v>
      </c>
      <c r="F176">
        <v>2</v>
      </c>
      <c r="G176">
        <v>4</v>
      </c>
      <c r="H176" t="s">
        <v>32</v>
      </c>
      <c r="I176" t="s">
        <v>33</v>
      </c>
      <c r="J176" t="s">
        <v>34</v>
      </c>
      <c r="K176" s="1">
        <v>7.6100000000000001E-2</v>
      </c>
      <c r="L176" t="s">
        <v>30</v>
      </c>
      <c r="M176">
        <v>22</v>
      </c>
      <c r="N176" t="s">
        <v>88</v>
      </c>
      <c r="O176" t="s">
        <v>243</v>
      </c>
      <c r="P176">
        <v>0</v>
      </c>
      <c r="Q176">
        <v>50</v>
      </c>
      <c r="R176" t="s">
        <v>36</v>
      </c>
      <c r="S176">
        <v>12</v>
      </c>
      <c r="T176">
        <v>12</v>
      </c>
      <c r="U176" t="s">
        <v>112</v>
      </c>
      <c r="V176" t="s">
        <v>37</v>
      </c>
      <c r="W176">
        <v>450</v>
      </c>
      <c r="X176">
        <v>60</v>
      </c>
      <c r="Y176" t="s">
        <v>38</v>
      </c>
      <c r="Z176">
        <v>20</v>
      </c>
      <c r="AA176" t="s">
        <v>39</v>
      </c>
      <c r="AB176">
        <v>20</v>
      </c>
      <c r="AC176" t="s">
        <v>40</v>
      </c>
    </row>
    <row r="177" spans="1:29" x14ac:dyDescent="0.25">
      <c r="A177" t="str">
        <f t="shared" si="1"/>
        <v>EEM_EG_Pavlovagyrans_raw_002_004_B3.csv</v>
      </c>
      <c r="B177" t="s">
        <v>29</v>
      </c>
      <c r="C177" t="s">
        <v>30</v>
      </c>
      <c r="D177" t="s">
        <v>30</v>
      </c>
      <c r="E177" t="s">
        <v>31</v>
      </c>
      <c r="F177">
        <v>2</v>
      </c>
      <c r="G177">
        <v>4</v>
      </c>
      <c r="H177" t="s">
        <v>41</v>
      </c>
      <c r="I177" t="s">
        <v>33</v>
      </c>
      <c r="J177" t="s">
        <v>34</v>
      </c>
      <c r="K177" s="1">
        <v>7.2599999999999998E-2</v>
      </c>
      <c r="L177" t="s">
        <v>30</v>
      </c>
      <c r="M177">
        <v>22</v>
      </c>
      <c r="N177" t="s">
        <v>50</v>
      </c>
      <c r="O177" t="s">
        <v>243</v>
      </c>
      <c r="P177">
        <v>0</v>
      </c>
      <c r="Q177">
        <v>50</v>
      </c>
      <c r="R177" t="s">
        <v>36</v>
      </c>
      <c r="S177">
        <v>12</v>
      </c>
      <c r="T177">
        <v>12</v>
      </c>
      <c r="U177" t="s">
        <v>112</v>
      </c>
      <c r="V177" t="s">
        <v>37</v>
      </c>
      <c r="W177">
        <v>450</v>
      </c>
      <c r="X177">
        <v>60</v>
      </c>
      <c r="Y177" t="s">
        <v>38</v>
      </c>
      <c r="Z177">
        <v>20</v>
      </c>
      <c r="AA177" t="s">
        <v>39</v>
      </c>
      <c r="AB177">
        <v>20</v>
      </c>
      <c r="AC177" t="s">
        <v>40</v>
      </c>
    </row>
    <row r="178" spans="1:29" x14ac:dyDescent="0.25">
      <c r="A178" t="str">
        <f t="shared" si="1"/>
        <v>EEM_EG_Pavlovagyrans_raw_002_004_B4.csv</v>
      </c>
      <c r="B178" t="s">
        <v>29</v>
      </c>
      <c r="C178" t="s">
        <v>30</v>
      </c>
      <c r="D178" t="s">
        <v>30</v>
      </c>
      <c r="E178" t="s">
        <v>31</v>
      </c>
      <c r="F178">
        <v>2</v>
      </c>
      <c r="G178">
        <v>4</v>
      </c>
      <c r="H178" t="s">
        <v>43</v>
      </c>
      <c r="I178" t="s">
        <v>33</v>
      </c>
      <c r="J178" t="s">
        <v>34</v>
      </c>
      <c r="K178" s="1">
        <v>6.7799999999999999E-2</v>
      </c>
      <c r="L178" t="s">
        <v>30</v>
      </c>
      <c r="M178">
        <v>22</v>
      </c>
      <c r="N178" t="s">
        <v>90</v>
      </c>
      <c r="O178" t="s">
        <v>243</v>
      </c>
      <c r="P178">
        <v>0</v>
      </c>
      <c r="Q178">
        <v>50</v>
      </c>
      <c r="R178" t="s">
        <v>36</v>
      </c>
      <c r="S178">
        <v>12</v>
      </c>
      <c r="T178">
        <v>12</v>
      </c>
      <c r="U178" t="s">
        <v>112</v>
      </c>
      <c r="V178" t="s">
        <v>37</v>
      </c>
      <c r="W178">
        <v>450</v>
      </c>
      <c r="X178">
        <v>60</v>
      </c>
      <c r="Y178" t="s">
        <v>38</v>
      </c>
      <c r="Z178">
        <v>20</v>
      </c>
      <c r="AA178" t="s">
        <v>39</v>
      </c>
      <c r="AB178">
        <v>20</v>
      </c>
      <c r="AC178" t="s">
        <v>40</v>
      </c>
    </row>
    <row r="179" spans="1:29" x14ac:dyDescent="0.25">
      <c r="A179" t="str">
        <f t="shared" si="1"/>
        <v>EEM_EG_Pavlovagyrans_raw_002_004_B5.csv</v>
      </c>
      <c r="B179" t="s">
        <v>29</v>
      </c>
      <c r="C179" t="s">
        <v>30</v>
      </c>
      <c r="D179" t="s">
        <v>30</v>
      </c>
      <c r="E179" t="s">
        <v>31</v>
      </c>
      <c r="F179">
        <v>2</v>
      </c>
      <c r="G179">
        <v>4</v>
      </c>
      <c r="H179" t="s">
        <v>45</v>
      </c>
      <c r="I179" t="s">
        <v>33</v>
      </c>
      <c r="J179" t="s">
        <v>34</v>
      </c>
      <c r="K179" s="1">
        <v>7.2300000000000003E-2</v>
      </c>
      <c r="L179" t="s">
        <v>30</v>
      </c>
      <c r="M179">
        <v>22</v>
      </c>
      <c r="N179" t="s">
        <v>52</v>
      </c>
      <c r="O179" t="s">
        <v>243</v>
      </c>
      <c r="P179">
        <v>0</v>
      </c>
      <c r="Q179">
        <v>50</v>
      </c>
      <c r="R179" t="s">
        <v>36</v>
      </c>
      <c r="S179">
        <v>12</v>
      </c>
      <c r="T179">
        <v>12</v>
      </c>
      <c r="U179" t="s">
        <v>112</v>
      </c>
      <c r="V179" t="s">
        <v>37</v>
      </c>
      <c r="W179">
        <v>450</v>
      </c>
      <c r="X179">
        <v>60</v>
      </c>
      <c r="Y179" t="s">
        <v>38</v>
      </c>
      <c r="Z179">
        <v>20</v>
      </c>
      <c r="AA179" t="s">
        <v>39</v>
      </c>
      <c r="AB179">
        <v>20</v>
      </c>
      <c r="AC179" t="s">
        <v>40</v>
      </c>
    </row>
    <row r="180" spans="1:29" x14ac:dyDescent="0.25">
      <c r="A180" t="str">
        <f t="shared" si="1"/>
        <v>EEM_EG_Pavlovagyrans_raw_002_004_B6.csv</v>
      </c>
      <c r="B180" t="s">
        <v>29</v>
      </c>
      <c r="C180" t="s">
        <v>30</v>
      </c>
      <c r="D180" t="s">
        <v>30</v>
      </c>
      <c r="E180" t="s">
        <v>31</v>
      </c>
      <c r="F180">
        <v>2</v>
      </c>
      <c r="G180">
        <v>4</v>
      </c>
      <c r="H180" t="s">
        <v>47</v>
      </c>
      <c r="I180" t="s">
        <v>33</v>
      </c>
      <c r="J180" t="s">
        <v>34</v>
      </c>
      <c r="K180" s="1">
        <v>7.5399999999999995E-2</v>
      </c>
      <c r="L180" t="s">
        <v>30</v>
      </c>
      <c r="M180">
        <v>22</v>
      </c>
      <c r="N180" t="s">
        <v>92</v>
      </c>
      <c r="O180" t="s">
        <v>243</v>
      </c>
      <c r="P180">
        <v>0</v>
      </c>
      <c r="Q180">
        <v>50</v>
      </c>
      <c r="R180" t="s">
        <v>36</v>
      </c>
      <c r="S180">
        <v>12</v>
      </c>
      <c r="T180">
        <v>12</v>
      </c>
      <c r="U180" t="s">
        <v>112</v>
      </c>
      <c r="V180" t="s">
        <v>37</v>
      </c>
      <c r="W180">
        <v>450</v>
      </c>
      <c r="X180">
        <v>60</v>
      </c>
      <c r="Y180" t="s">
        <v>38</v>
      </c>
      <c r="Z180">
        <v>20</v>
      </c>
      <c r="AA180" t="s">
        <v>39</v>
      </c>
      <c r="AB180">
        <v>20</v>
      </c>
      <c r="AC180" t="s">
        <v>40</v>
      </c>
    </row>
    <row r="181" spans="1:29" x14ac:dyDescent="0.25">
      <c r="A181" t="str">
        <f t="shared" si="1"/>
        <v>EEM_EG_Pavlovagyrans_raw_002_004_B7.csv</v>
      </c>
      <c r="B181" t="s">
        <v>29</v>
      </c>
      <c r="C181" t="s">
        <v>30</v>
      </c>
      <c r="D181" t="s">
        <v>30</v>
      </c>
      <c r="E181" t="s">
        <v>31</v>
      </c>
      <c r="F181">
        <v>2</v>
      </c>
      <c r="G181">
        <v>4</v>
      </c>
      <c r="H181" t="s">
        <v>49</v>
      </c>
      <c r="I181" t="s">
        <v>33</v>
      </c>
      <c r="J181" t="s">
        <v>34</v>
      </c>
      <c r="K181" s="1">
        <v>7.6399999999999996E-2</v>
      </c>
      <c r="L181" t="s">
        <v>30</v>
      </c>
      <c r="M181">
        <v>22</v>
      </c>
      <c r="N181" t="s">
        <v>54</v>
      </c>
      <c r="O181" t="s">
        <v>243</v>
      </c>
      <c r="P181">
        <v>0</v>
      </c>
      <c r="Q181">
        <v>50</v>
      </c>
      <c r="R181" t="s">
        <v>36</v>
      </c>
      <c r="S181">
        <v>12</v>
      </c>
      <c r="T181">
        <v>12</v>
      </c>
      <c r="U181" t="s">
        <v>112</v>
      </c>
      <c r="V181" t="s">
        <v>37</v>
      </c>
      <c r="W181">
        <v>450</v>
      </c>
      <c r="X181">
        <v>60</v>
      </c>
      <c r="Y181" t="s">
        <v>38</v>
      </c>
      <c r="Z181">
        <v>20</v>
      </c>
      <c r="AA181" t="s">
        <v>39</v>
      </c>
      <c r="AB181">
        <v>20</v>
      </c>
      <c r="AC181" t="s">
        <v>40</v>
      </c>
    </row>
    <row r="182" spans="1:29" x14ac:dyDescent="0.25">
      <c r="A182" t="str">
        <f t="shared" si="1"/>
        <v>EEM_EG_Pavlovagyrans_raw_002_004_B8.csv</v>
      </c>
      <c r="B182" t="s">
        <v>29</v>
      </c>
      <c r="C182" t="s">
        <v>30</v>
      </c>
      <c r="D182" t="s">
        <v>30</v>
      </c>
      <c r="E182" t="s">
        <v>31</v>
      </c>
      <c r="F182">
        <v>2</v>
      </c>
      <c r="G182">
        <v>4</v>
      </c>
      <c r="H182" t="s">
        <v>51</v>
      </c>
      <c r="I182" t="s">
        <v>33</v>
      </c>
      <c r="J182" t="s">
        <v>34</v>
      </c>
      <c r="K182" s="1">
        <v>7.46E-2</v>
      </c>
      <c r="L182" t="s">
        <v>30</v>
      </c>
      <c r="M182">
        <v>22</v>
      </c>
      <c r="N182" t="s">
        <v>94</v>
      </c>
      <c r="O182" t="s">
        <v>243</v>
      </c>
      <c r="P182">
        <v>0</v>
      </c>
      <c r="Q182">
        <v>50</v>
      </c>
      <c r="R182" t="s">
        <v>36</v>
      </c>
      <c r="S182">
        <v>12</v>
      </c>
      <c r="T182">
        <v>12</v>
      </c>
      <c r="U182" t="s">
        <v>112</v>
      </c>
      <c r="V182" t="s">
        <v>37</v>
      </c>
      <c r="W182">
        <v>450</v>
      </c>
      <c r="X182">
        <v>60</v>
      </c>
      <c r="Y182" t="s">
        <v>38</v>
      </c>
      <c r="Z182">
        <v>20</v>
      </c>
      <c r="AA182" t="s">
        <v>39</v>
      </c>
      <c r="AB182">
        <v>20</v>
      </c>
      <c r="AC182" t="s">
        <v>40</v>
      </c>
    </row>
    <row r="183" spans="1:29" x14ac:dyDescent="0.25">
      <c r="A183" t="str">
        <f t="shared" si="1"/>
        <v>EEM_EG_Pavlovagyrans_raw_002_004_B9.csv</v>
      </c>
      <c r="B183" t="s">
        <v>29</v>
      </c>
      <c r="C183" t="s">
        <v>30</v>
      </c>
      <c r="D183" t="s">
        <v>30</v>
      </c>
      <c r="E183" t="s">
        <v>31</v>
      </c>
      <c r="F183">
        <v>2</v>
      </c>
      <c r="G183">
        <v>4</v>
      </c>
      <c r="H183" t="s">
        <v>53</v>
      </c>
      <c r="I183" t="s">
        <v>33</v>
      </c>
      <c r="J183" t="s">
        <v>34</v>
      </c>
      <c r="K183" s="1">
        <v>8.5000000000000006E-2</v>
      </c>
      <c r="L183" t="s">
        <v>30</v>
      </c>
      <c r="M183">
        <v>22</v>
      </c>
      <c r="N183" t="s">
        <v>56</v>
      </c>
      <c r="O183" t="s">
        <v>243</v>
      </c>
      <c r="P183">
        <v>0</v>
      </c>
      <c r="Q183">
        <v>50</v>
      </c>
      <c r="R183" t="s">
        <v>36</v>
      </c>
      <c r="S183">
        <v>12</v>
      </c>
      <c r="T183">
        <v>12</v>
      </c>
      <c r="U183" t="s">
        <v>112</v>
      </c>
      <c r="V183" t="s">
        <v>37</v>
      </c>
      <c r="W183">
        <v>450</v>
      </c>
      <c r="X183">
        <v>60</v>
      </c>
      <c r="Y183" t="s">
        <v>38</v>
      </c>
      <c r="Z183">
        <v>20</v>
      </c>
      <c r="AA183" t="s">
        <v>39</v>
      </c>
      <c r="AB183">
        <v>20</v>
      </c>
      <c r="AC183" t="s">
        <v>40</v>
      </c>
    </row>
    <row r="184" spans="1:29" x14ac:dyDescent="0.25">
      <c r="A184" t="str">
        <f t="shared" si="1"/>
        <v>EEM_EG_Pavlovagyrans_raw_002_004_B10.csv</v>
      </c>
      <c r="B184" t="s">
        <v>29</v>
      </c>
      <c r="C184" t="s">
        <v>30</v>
      </c>
      <c r="D184" t="s">
        <v>30</v>
      </c>
      <c r="E184" t="s">
        <v>31</v>
      </c>
      <c r="F184">
        <v>2</v>
      </c>
      <c r="G184">
        <v>4</v>
      </c>
      <c r="H184" t="s">
        <v>55</v>
      </c>
      <c r="I184" t="s">
        <v>33</v>
      </c>
      <c r="J184" t="s">
        <v>34</v>
      </c>
      <c r="K184" s="1">
        <v>8.2600000000000007E-2</v>
      </c>
      <c r="L184" t="s">
        <v>30</v>
      </c>
      <c r="M184">
        <v>22</v>
      </c>
      <c r="N184" t="s">
        <v>96</v>
      </c>
      <c r="O184" t="s">
        <v>243</v>
      </c>
      <c r="P184">
        <v>0</v>
      </c>
      <c r="Q184">
        <v>50</v>
      </c>
      <c r="R184" t="s">
        <v>36</v>
      </c>
      <c r="S184">
        <v>12</v>
      </c>
      <c r="T184">
        <v>12</v>
      </c>
      <c r="U184" t="s">
        <v>112</v>
      </c>
      <c r="V184" t="s">
        <v>37</v>
      </c>
      <c r="W184">
        <v>450</v>
      </c>
      <c r="X184">
        <v>60</v>
      </c>
      <c r="Y184" t="s">
        <v>38</v>
      </c>
      <c r="Z184">
        <v>20</v>
      </c>
      <c r="AA184" t="s">
        <v>39</v>
      </c>
      <c r="AB184">
        <v>20</v>
      </c>
      <c r="AC184" t="s">
        <v>40</v>
      </c>
    </row>
    <row r="185" spans="1:29" x14ac:dyDescent="0.25">
      <c r="A185" t="str">
        <f t="shared" si="1"/>
        <v>EEM_EG_Pavlovagyrans_raw_002_004_B11.csv</v>
      </c>
      <c r="B185" t="s">
        <v>29</v>
      </c>
      <c r="C185" t="s">
        <v>30</v>
      </c>
      <c r="D185" t="s">
        <v>30</v>
      </c>
      <c r="E185" t="s">
        <v>31</v>
      </c>
      <c r="F185">
        <v>2</v>
      </c>
      <c r="G185">
        <v>4</v>
      </c>
      <c r="H185" t="s">
        <v>57</v>
      </c>
      <c r="I185" t="s">
        <v>33</v>
      </c>
      <c r="J185" t="s">
        <v>34</v>
      </c>
      <c r="K185" s="1">
        <v>6.9400000000000003E-2</v>
      </c>
      <c r="L185" t="s">
        <v>30</v>
      </c>
      <c r="M185">
        <v>22</v>
      </c>
      <c r="N185" t="s">
        <v>58</v>
      </c>
      <c r="O185" t="s">
        <v>243</v>
      </c>
      <c r="P185">
        <v>0</v>
      </c>
      <c r="Q185">
        <v>50</v>
      </c>
      <c r="R185" t="s">
        <v>36</v>
      </c>
      <c r="S185">
        <v>12</v>
      </c>
      <c r="T185">
        <v>12</v>
      </c>
      <c r="U185" t="s">
        <v>112</v>
      </c>
      <c r="V185" t="s">
        <v>37</v>
      </c>
      <c r="W185">
        <v>450</v>
      </c>
      <c r="X185">
        <v>60</v>
      </c>
      <c r="Y185" t="s">
        <v>38</v>
      </c>
      <c r="Z185">
        <v>20</v>
      </c>
      <c r="AA185" t="s">
        <v>39</v>
      </c>
      <c r="AB185">
        <v>20</v>
      </c>
      <c r="AC185" t="s">
        <v>40</v>
      </c>
    </row>
    <row r="186" spans="1:29" x14ac:dyDescent="0.25">
      <c r="A186" t="str">
        <f t="shared" si="1"/>
        <v>EEM_EG_Pavlovagyrans_raw_002_004_C1.csv</v>
      </c>
      <c r="B186" t="s">
        <v>29</v>
      </c>
      <c r="C186" t="s">
        <v>30</v>
      </c>
      <c r="D186" t="s">
        <v>30</v>
      </c>
      <c r="E186" t="s">
        <v>31</v>
      </c>
      <c r="F186">
        <v>2</v>
      </c>
      <c r="G186">
        <v>4</v>
      </c>
      <c r="H186" t="s">
        <v>137</v>
      </c>
      <c r="I186" t="s">
        <v>33</v>
      </c>
      <c r="J186" t="s">
        <v>34</v>
      </c>
      <c r="K186" s="1">
        <v>0.13320000000000001</v>
      </c>
      <c r="L186" t="s">
        <v>30</v>
      </c>
      <c r="M186">
        <v>22</v>
      </c>
      <c r="N186" t="s">
        <v>48</v>
      </c>
      <c r="O186" t="s">
        <v>243</v>
      </c>
      <c r="P186">
        <v>0</v>
      </c>
      <c r="Q186">
        <v>50</v>
      </c>
      <c r="R186" t="s">
        <v>36</v>
      </c>
      <c r="S186">
        <v>12</v>
      </c>
      <c r="T186">
        <v>12</v>
      </c>
      <c r="U186" t="s">
        <v>112</v>
      </c>
      <c r="V186" t="s">
        <v>37</v>
      </c>
      <c r="W186">
        <v>450</v>
      </c>
      <c r="X186">
        <v>60</v>
      </c>
      <c r="Y186" t="s">
        <v>38</v>
      </c>
      <c r="Z186">
        <v>20</v>
      </c>
      <c r="AA186" t="s">
        <v>39</v>
      </c>
      <c r="AB186">
        <v>20</v>
      </c>
      <c r="AC186" t="s">
        <v>40</v>
      </c>
    </row>
    <row r="187" spans="1:29" x14ac:dyDescent="0.25">
      <c r="A187" t="str">
        <f t="shared" si="1"/>
        <v>EEM_EG_Pavlovagyrans_raw_002_004_C2.csv</v>
      </c>
      <c r="B187" t="s">
        <v>29</v>
      </c>
      <c r="C187" t="s">
        <v>30</v>
      </c>
      <c r="D187" t="s">
        <v>30</v>
      </c>
      <c r="E187" t="s">
        <v>31</v>
      </c>
      <c r="F187">
        <v>2</v>
      </c>
      <c r="G187">
        <v>4</v>
      </c>
      <c r="H187" t="s">
        <v>59</v>
      </c>
      <c r="I187" t="s">
        <v>33</v>
      </c>
      <c r="J187" t="s">
        <v>34</v>
      </c>
      <c r="K187" s="1">
        <v>7.4399999999999994E-2</v>
      </c>
      <c r="L187" t="s">
        <v>30</v>
      </c>
      <c r="M187">
        <v>22</v>
      </c>
      <c r="N187" t="s">
        <v>88</v>
      </c>
      <c r="O187" t="s">
        <v>243</v>
      </c>
      <c r="P187">
        <v>0</v>
      </c>
      <c r="Q187">
        <v>50</v>
      </c>
      <c r="R187" t="s">
        <v>36</v>
      </c>
      <c r="S187">
        <v>12</v>
      </c>
      <c r="T187">
        <v>12</v>
      </c>
      <c r="U187" t="s">
        <v>112</v>
      </c>
      <c r="V187" t="s">
        <v>37</v>
      </c>
      <c r="W187">
        <v>450</v>
      </c>
      <c r="X187">
        <v>60</v>
      </c>
      <c r="Y187" t="s">
        <v>38</v>
      </c>
      <c r="Z187">
        <v>20</v>
      </c>
      <c r="AA187" t="s">
        <v>39</v>
      </c>
      <c r="AB187">
        <v>20</v>
      </c>
      <c r="AC187" t="s">
        <v>40</v>
      </c>
    </row>
    <row r="188" spans="1:29" x14ac:dyDescent="0.25">
      <c r="A188" t="str">
        <f t="shared" si="1"/>
        <v>EEM_EG_Pavlovagyrans_raw_002_004_C3.csv</v>
      </c>
      <c r="B188" t="s">
        <v>29</v>
      </c>
      <c r="C188" t="s">
        <v>30</v>
      </c>
      <c r="D188" t="s">
        <v>30</v>
      </c>
      <c r="E188" t="s">
        <v>31</v>
      </c>
      <c r="F188">
        <v>2</v>
      </c>
      <c r="G188">
        <v>4</v>
      </c>
      <c r="H188" t="s">
        <v>60</v>
      </c>
      <c r="I188" t="s">
        <v>33</v>
      </c>
      <c r="J188" t="s">
        <v>34</v>
      </c>
      <c r="K188" s="1">
        <v>7.2800000000000004E-2</v>
      </c>
      <c r="L188" t="s">
        <v>30</v>
      </c>
      <c r="M188">
        <v>22</v>
      </c>
      <c r="N188" t="s">
        <v>50</v>
      </c>
      <c r="O188" t="s">
        <v>243</v>
      </c>
      <c r="P188">
        <v>0</v>
      </c>
      <c r="Q188">
        <v>50</v>
      </c>
      <c r="R188" t="s">
        <v>36</v>
      </c>
      <c r="S188">
        <v>12</v>
      </c>
      <c r="T188">
        <v>12</v>
      </c>
      <c r="U188" t="s">
        <v>112</v>
      </c>
      <c r="V188" t="s">
        <v>37</v>
      </c>
      <c r="W188">
        <v>450</v>
      </c>
      <c r="X188">
        <v>60</v>
      </c>
      <c r="Y188" t="s">
        <v>38</v>
      </c>
      <c r="Z188">
        <v>20</v>
      </c>
      <c r="AA188" t="s">
        <v>39</v>
      </c>
      <c r="AB188">
        <v>20</v>
      </c>
      <c r="AC188" t="s">
        <v>40</v>
      </c>
    </row>
    <row r="189" spans="1:29" x14ac:dyDescent="0.25">
      <c r="A189" t="str">
        <f t="shared" si="1"/>
        <v>EEM_EG_Pavlovagyrans_raw_002_004_C4.csv</v>
      </c>
      <c r="B189" t="s">
        <v>29</v>
      </c>
      <c r="C189" t="s">
        <v>30</v>
      </c>
      <c r="D189" t="s">
        <v>30</v>
      </c>
      <c r="E189" t="s">
        <v>31</v>
      </c>
      <c r="F189">
        <v>2</v>
      </c>
      <c r="G189">
        <v>4</v>
      </c>
      <c r="H189" t="s">
        <v>61</v>
      </c>
      <c r="I189" t="s">
        <v>33</v>
      </c>
      <c r="J189" t="s">
        <v>34</v>
      </c>
      <c r="K189" s="1">
        <v>8.2600000000000007E-2</v>
      </c>
      <c r="L189" t="s">
        <v>30</v>
      </c>
      <c r="M189">
        <v>22</v>
      </c>
      <c r="N189" t="s">
        <v>90</v>
      </c>
      <c r="O189" t="s">
        <v>243</v>
      </c>
      <c r="P189">
        <v>0</v>
      </c>
      <c r="Q189">
        <v>50</v>
      </c>
      <c r="R189" t="s">
        <v>36</v>
      </c>
      <c r="S189">
        <v>12</v>
      </c>
      <c r="T189">
        <v>12</v>
      </c>
      <c r="U189" t="s">
        <v>112</v>
      </c>
      <c r="V189" t="s">
        <v>37</v>
      </c>
      <c r="W189">
        <v>450</v>
      </c>
      <c r="X189">
        <v>60</v>
      </c>
      <c r="Y189" t="s">
        <v>38</v>
      </c>
      <c r="Z189">
        <v>20</v>
      </c>
      <c r="AA189" t="s">
        <v>39</v>
      </c>
      <c r="AB189">
        <v>20</v>
      </c>
      <c r="AC189" t="s">
        <v>40</v>
      </c>
    </row>
    <row r="190" spans="1:29" x14ac:dyDescent="0.25">
      <c r="A190" t="str">
        <f t="shared" si="1"/>
        <v>EEM_EG_Pavlovagyrans_raw_002_004_C5.csv</v>
      </c>
      <c r="B190" t="s">
        <v>29</v>
      </c>
      <c r="C190" t="s">
        <v>30</v>
      </c>
      <c r="D190" t="s">
        <v>30</v>
      </c>
      <c r="E190" t="s">
        <v>31</v>
      </c>
      <c r="F190">
        <v>2</v>
      </c>
      <c r="G190">
        <v>4</v>
      </c>
      <c r="H190" t="s">
        <v>62</v>
      </c>
      <c r="I190" t="s">
        <v>33</v>
      </c>
      <c r="J190" t="s">
        <v>34</v>
      </c>
      <c r="K190" s="1">
        <v>7.5499999999999998E-2</v>
      </c>
      <c r="L190" t="s">
        <v>30</v>
      </c>
      <c r="M190">
        <v>22</v>
      </c>
      <c r="N190" t="s">
        <v>52</v>
      </c>
      <c r="O190" t="s">
        <v>243</v>
      </c>
      <c r="P190">
        <v>0</v>
      </c>
      <c r="Q190">
        <v>50</v>
      </c>
      <c r="R190" t="s">
        <v>36</v>
      </c>
      <c r="S190">
        <v>12</v>
      </c>
      <c r="T190">
        <v>12</v>
      </c>
      <c r="U190" t="s">
        <v>112</v>
      </c>
      <c r="V190" t="s">
        <v>37</v>
      </c>
      <c r="W190">
        <v>450</v>
      </c>
      <c r="X190">
        <v>60</v>
      </c>
      <c r="Y190" t="s">
        <v>38</v>
      </c>
      <c r="Z190">
        <v>20</v>
      </c>
      <c r="AA190" t="s">
        <v>39</v>
      </c>
      <c r="AB190">
        <v>20</v>
      </c>
      <c r="AC190" t="s">
        <v>40</v>
      </c>
    </row>
    <row r="191" spans="1:29" x14ac:dyDescent="0.25">
      <c r="A191" t="str">
        <f t="shared" si="1"/>
        <v>EEM_EG_Pavlovagyrans_raw_002_004_C6.csv</v>
      </c>
      <c r="B191" t="s">
        <v>29</v>
      </c>
      <c r="C191" t="s">
        <v>30</v>
      </c>
      <c r="D191" t="s">
        <v>30</v>
      </c>
      <c r="E191" t="s">
        <v>31</v>
      </c>
      <c r="F191">
        <v>2</v>
      </c>
      <c r="G191">
        <v>4</v>
      </c>
      <c r="H191" t="s">
        <v>63</v>
      </c>
      <c r="I191" t="s">
        <v>33</v>
      </c>
      <c r="J191" t="s">
        <v>34</v>
      </c>
      <c r="K191" s="1">
        <v>7.8600000000000003E-2</v>
      </c>
      <c r="L191" t="s">
        <v>30</v>
      </c>
      <c r="M191">
        <v>22</v>
      </c>
      <c r="N191" t="s">
        <v>92</v>
      </c>
      <c r="O191" t="s">
        <v>243</v>
      </c>
      <c r="P191">
        <v>0</v>
      </c>
      <c r="Q191">
        <v>50</v>
      </c>
      <c r="R191" t="s">
        <v>36</v>
      </c>
      <c r="S191">
        <v>12</v>
      </c>
      <c r="T191">
        <v>12</v>
      </c>
      <c r="U191" t="s">
        <v>112</v>
      </c>
      <c r="V191" t="s">
        <v>37</v>
      </c>
      <c r="W191">
        <v>450</v>
      </c>
      <c r="X191">
        <v>60</v>
      </c>
      <c r="Y191" t="s">
        <v>38</v>
      </c>
      <c r="Z191">
        <v>20</v>
      </c>
      <c r="AA191" t="s">
        <v>39</v>
      </c>
      <c r="AB191">
        <v>20</v>
      </c>
      <c r="AC191" t="s">
        <v>40</v>
      </c>
    </row>
    <row r="192" spans="1:29" x14ac:dyDescent="0.25">
      <c r="A192" t="str">
        <f t="shared" si="1"/>
        <v>EEM_EG_Pavlovagyrans_raw_002_004_C7.csv</v>
      </c>
      <c r="B192" t="s">
        <v>29</v>
      </c>
      <c r="C192" t="s">
        <v>30</v>
      </c>
      <c r="D192" t="s">
        <v>30</v>
      </c>
      <c r="E192" t="s">
        <v>31</v>
      </c>
      <c r="F192">
        <v>2</v>
      </c>
      <c r="G192">
        <v>4</v>
      </c>
      <c r="H192" t="s">
        <v>64</v>
      </c>
      <c r="I192" t="s">
        <v>33</v>
      </c>
      <c r="J192" t="s">
        <v>34</v>
      </c>
      <c r="K192" s="1">
        <v>8.0799999999999997E-2</v>
      </c>
      <c r="L192" t="s">
        <v>30</v>
      </c>
      <c r="M192">
        <v>22</v>
      </c>
      <c r="N192" t="s">
        <v>54</v>
      </c>
      <c r="O192" t="s">
        <v>243</v>
      </c>
      <c r="P192">
        <v>0</v>
      </c>
      <c r="Q192">
        <v>50</v>
      </c>
      <c r="R192" t="s">
        <v>36</v>
      </c>
      <c r="S192">
        <v>12</v>
      </c>
      <c r="T192">
        <v>12</v>
      </c>
      <c r="U192" t="s">
        <v>112</v>
      </c>
      <c r="V192" t="s">
        <v>37</v>
      </c>
      <c r="W192">
        <v>450</v>
      </c>
      <c r="X192">
        <v>60</v>
      </c>
      <c r="Y192" t="s">
        <v>38</v>
      </c>
      <c r="Z192">
        <v>20</v>
      </c>
      <c r="AA192" t="s">
        <v>39</v>
      </c>
      <c r="AB192">
        <v>20</v>
      </c>
      <c r="AC192" t="s">
        <v>40</v>
      </c>
    </row>
    <row r="193" spans="1:29" x14ac:dyDescent="0.25">
      <c r="A193" t="str">
        <f t="shared" si="1"/>
        <v>EEM_EG_Pavlovagyrans_raw_002_004_C8.csv</v>
      </c>
      <c r="B193" t="s">
        <v>29</v>
      </c>
      <c r="C193" t="s">
        <v>30</v>
      </c>
      <c r="D193" t="s">
        <v>30</v>
      </c>
      <c r="E193" t="s">
        <v>31</v>
      </c>
      <c r="F193">
        <v>2</v>
      </c>
      <c r="G193">
        <v>4</v>
      </c>
      <c r="H193" t="s">
        <v>65</v>
      </c>
      <c r="I193" t="s">
        <v>33</v>
      </c>
      <c r="J193" t="s">
        <v>34</v>
      </c>
      <c r="K193" s="1">
        <v>7.0900000000000005E-2</v>
      </c>
      <c r="L193" t="s">
        <v>30</v>
      </c>
      <c r="M193">
        <v>22</v>
      </c>
      <c r="N193" t="s">
        <v>94</v>
      </c>
      <c r="O193" t="s">
        <v>243</v>
      </c>
      <c r="P193">
        <v>0</v>
      </c>
      <c r="Q193">
        <v>50</v>
      </c>
      <c r="R193" t="s">
        <v>36</v>
      </c>
      <c r="S193">
        <v>12</v>
      </c>
      <c r="T193">
        <v>12</v>
      </c>
      <c r="U193" t="s">
        <v>112</v>
      </c>
      <c r="V193" t="s">
        <v>37</v>
      </c>
      <c r="W193">
        <v>450</v>
      </c>
      <c r="X193">
        <v>60</v>
      </c>
      <c r="Y193" t="s">
        <v>38</v>
      </c>
      <c r="Z193">
        <v>20</v>
      </c>
      <c r="AA193" t="s">
        <v>39</v>
      </c>
      <c r="AB193">
        <v>20</v>
      </c>
      <c r="AC193" t="s">
        <v>40</v>
      </c>
    </row>
    <row r="194" spans="1:29" x14ac:dyDescent="0.25">
      <c r="A194" t="str">
        <f t="shared" si="1"/>
        <v>EEM_EG_Pavlovagyrans_raw_002_004_C9.csv</v>
      </c>
      <c r="B194" t="s">
        <v>29</v>
      </c>
      <c r="C194" t="s">
        <v>30</v>
      </c>
      <c r="D194" t="s">
        <v>30</v>
      </c>
      <c r="E194" t="s">
        <v>31</v>
      </c>
      <c r="F194">
        <v>2</v>
      </c>
      <c r="G194">
        <v>4</v>
      </c>
      <c r="H194" t="s">
        <v>66</v>
      </c>
      <c r="I194" t="s">
        <v>33</v>
      </c>
      <c r="J194" t="s">
        <v>34</v>
      </c>
      <c r="K194" s="1">
        <v>8.6199999999999999E-2</v>
      </c>
      <c r="L194" t="s">
        <v>30</v>
      </c>
      <c r="M194">
        <v>22</v>
      </c>
      <c r="N194" t="s">
        <v>56</v>
      </c>
      <c r="O194" t="s">
        <v>243</v>
      </c>
      <c r="P194">
        <v>0</v>
      </c>
      <c r="Q194">
        <v>50</v>
      </c>
      <c r="R194" t="s">
        <v>36</v>
      </c>
      <c r="S194">
        <v>12</v>
      </c>
      <c r="T194">
        <v>12</v>
      </c>
      <c r="U194" t="s">
        <v>112</v>
      </c>
      <c r="V194" t="s">
        <v>37</v>
      </c>
      <c r="W194">
        <v>450</v>
      </c>
      <c r="X194">
        <v>60</v>
      </c>
      <c r="Y194" t="s">
        <v>38</v>
      </c>
      <c r="Z194">
        <v>20</v>
      </c>
      <c r="AA194" t="s">
        <v>39</v>
      </c>
      <c r="AB194">
        <v>20</v>
      </c>
      <c r="AC194" t="s">
        <v>40</v>
      </c>
    </row>
    <row r="195" spans="1:29" x14ac:dyDescent="0.25">
      <c r="A195" t="str">
        <f t="shared" si="1"/>
        <v>EEM_EG_Pavlovagyrans_raw_002_004_C10.csv</v>
      </c>
      <c r="B195" t="s">
        <v>29</v>
      </c>
      <c r="C195" t="s">
        <v>30</v>
      </c>
      <c r="D195" t="s">
        <v>30</v>
      </c>
      <c r="E195" t="s">
        <v>31</v>
      </c>
      <c r="F195">
        <v>2</v>
      </c>
      <c r="G195">
        <v>4</v>
      </c>
      <c r="H195" t="s">
        <v>67</v>
      </c>
      <c r="I195" t="s">
        <v>33</v>
      </c>
      <c r="J195" t="s">
        <v>34</v>
      </c>
      <c r="K195" s="1">
        <v>8.8300000000000003E-2</v>
      </c>
      <c r="L195" t="s">
        <v>30</v>
      </c>
      <c r="M195">
        <v>22</v>
      </c>
      <c r="N195" t="s">
        <v>96</v>
      </c>
      <c r="O195" t="s">
        <v>243</v>
      </c>
      <c r="P195">
        <v>0</v>
      </c>
      <c r="Q195">
        <v>50</v>
      </c>
      <c r="R195" t="s">
        <v>36</v>
      </c>
      <c r="S195">
        <v>12</v>
      </c>
      <c r="T195">
        <v>12</v>
      </c>
      <c r="U195" t="s">
        <v>112</v>
      </c>
      <c r="V195" t="s">
        <v>37</v>
      </c>
      <c r="W195">
        <v>450</v>
      </c>
      <c r="X195">
        <v>60</v>
      </c>
      <c r="Y195" t="s">
        <v>38</v>
      </c>
      <c r="Z195">
        <v>20</v>
      </c>
      <c r="AA195" t="s">
        <v>39</v>
      </c>
      <c r="AB195">
        <v>20</v>
      </c>
      <c r="AC195" t="s">
        <v>40</v>
      </c>
    </row>
    <row r="196" spans="1:29" x14ac:dyDescent="0.25">
      <c r="A196" t="str">
        <f t="shared" si="1"/>
        <v>EEM_EG_Pavlovagyrans_raw_002_004_C11.csv</v>
      </c>
      <c r="B196" t="s">
        <v>29</v>
      </c>
      <c r="C196" t="s">
        <v>30</v>
      </c>
      <c r="D196" t="s">
        <v>30</v>
      </c>
      <c r="E196" t="s">
        <v>31</v>
      </c>
      <c r="F196">
        <v>2</v>
      </c>
      <c r="G196">
        <v>4</v>
      </c>
      <c r="H196" t="s">
        <v>68</v>
      </c>
      <c r="I196" t="s">
        <v>33</v>
      </c>
      <c r="J196" t="s">
        <v>34</v>
      </c>
      <c r="K196" s="1">
        <v>7.3300000000000004E-2</v>
      </c>
      <c r="L196" t="s">
        <v>30</v>
      </c>
      <c r="M196">
        <v>22</v>
      </c>
      <c r="N196" t="s">
        <v>58</v>
      </c>
      <c r="O196" t="s">
        <v>243</v>
      </c>
      <c r="P196">
        <v>0</v>
      </c>
      <c r="Q196">
        <v>50</v>
      </c>
      <c r="R196" t="s">
        <v>36</v>
      </c>
      <c r="S196">
        <v>12</v>
      </c>
      <c r="T196">
        <v>12</v>
      </c>
      <c r="U196" t="s">
        <v>112</v>
      </c>
      <c r="V196" t="s">
        <v>37</v>
      </c>
      <c r="W196">
        <v>450</v>
      </c>
      <c r="X196">
        <v>60</v>
      </c>
      <c r="Y196" t="s">
        <v>38</v>
      </c>
      <c r="Z196">
        <v>20</v>
      </c>
      <c r="AA196" t="s">
        <v>39</v>
      </c>
      <c r="AB196">
        <v>20</v>
      </c>
      <c r="AC196" t="s">
        <v>40</v>
      </c>
    </row>
    <row r="197" spans="1:29" x14ac:dyDescent="0.25">
      <c r="A197" t="str">
        <f t="shared" si="1"/>
        <v>EEM_EG_Pavlovagyrans_raw_002_004_D1.csv</v>
      </c>
      <c r="B197" t="s">
        <v>29</v>
      </c>
      <c r="C197" t="s">
        <v>30</v>
      </c>
      <c r="D197" t="s">
        <v>30</v>
      </c>
      <c r="E197" t="s">
        <v>31</v>
      </c>
      <c r="F197">
        <v>2</v>
      </c>
      <c r="G197">
        <v>4</v>
      </c>
      <c r="H197" t="s">
        <v>146</v>
      </c>
      <c r="I197" t="s">
        <v>33</v>
      </c>
      <c r="J197" t="s">
        <v>34</v>
      </c>
      <c r="K197" s="1">
        <v>6.4199999999999993E-2</v>
      </c>
      <c r="L197" t="s">
        <v>30</v>
      </c>
      <c r="M197">
        <v>22</v>
      </c>
      <c r="N197" t="s">
        <v>48</v>
      </c>
      <c r="O197" t="s">
        <v>243</v>
      </c>
      <c r="P197">
        <v>0</v>
      </c>
      <c r="Q197">
        <v>50</v>
      </c>
      <c r="R197" t="s">
        <v>36</v>
      </c>
      <c r="S197">
        <v>12</v>
      </c>
      <c r="T197">
        <v>12</v>
      </c>
      <c r="U197" t="s">
        <v>112</v>
      </c>
      <c r="V197" t="s">
        <v>37</v>
      </c>
      <c r="W197">
        <v>450</v>
      </c>
      <c r="X197">
        <v>60</v>
      </c>
      <c r="Y197" t="s">
        <v>38</v>
      </c>
      <c r="Z197">
        <v>20</v>
      </c>
      <c r="AA197" t="s">
        <v>39</v>
      </c>
      <c r="AB197">
        <v>20</v>
      </c>
      <c r="AC197" t="s">
        <v>40</v>
      </c>
    </row>
    <row r="198" spans="1:29" x14ac:dyDescent="0.25">
      <c r="A198" t="str">
        <f t="shared" si="1"/>
        <v>EEM_EG_Pavlovagyrans_raw_002_004_D2.csv</v>
      </c>
      <c r="B198" t="s">
        <v>29</v>
      </c>
      <c r="C198" t="s">
        <v>30</v>
      </c>
      <c r="D198" t="s">
        <v>30</v>
      </c>
      <c r="E198" t="s">
        <v>31</v>
      </c>
      <c r="F198">
        <v>2</v>
      </c>
      <c r="G198">
        <v>4</v>
      </c>
      <c r="H198" t="s">
        <v>69</v>
      </c>
      <c r="I198" t="s">
        <v>33</v>
      </c>
      <c r="J198" t="s">
        <v>34</v>
      </c>
      <c r="K198" s="1">
        <v>7.17E-2</v>
      </c>
      <c r="L198" t="s">
        <v>30</v>
      </c>
      <c r="M198">
        <v>22</v>
      </c>
      <c r="N198" t="s">
        <v>88</v>
      </c>
      <c r="O198" t="s">
        <v>243</v>
      </c>
      <c r="P198">
        <v>0</v>
      </c>
      <c r="Q198">
        <v>50</v>
      </c>
      <c r="R198" t="s">
        <v>36</v>
      </c>
      <c r="S198">
        <v>12</v>
      </c>
      <c r="T198">
        <v>12</v>
      </c>
      <c r="U198" t="s">
        <v>112</v>
      </c>
      <c r="V198" t="s">
        <v>37</v>
      </c>
      <c r="W198">
        <v>450</v>
      </c>
      <c r="X198">
        <v>60</v>
      </c>
      <c r="Y198" t="s">
        <v>38</v>
      </c>
      <c r="Z198">
        <v>20</v>
      </c>
      <c r="AA198" t="s">
        <v>39</v>
      </c>
      <c r="AB198">
        <v>20</v>
      </c>
      <c r="AC198" t="s">
        <v>40</v>
      </c>
    </row>
    <row r="199" spans="1:29" x14ac:dyDescent="0.25">
      <c r="A199" t="str">
        <f t="shared" si="1"/>
        <v>EEM_EG_Pavlovagyrans_raw_002_004_D3.csv</v>
      </c>
      <c r="B199" t="s">
        <v>29</v>
      </c>
      <c r="C199" t="s">
        <v>30</v>
      </c>
      <c r="D199" t="s">
        <v>30</v>
      </c>
      <c r="E199" t="s">
        <v>31</v>
      </c>
      <c r="F199">
        <v>2</v>
      </c>
      <c r="G199">
        <v>4</v>
      </c>
      <c r="H199" t="s">
        <v>70</v>
      </c>
      <c r="I199" t="s">
        <v>33</v>
      </c>
      <c r="J199" t="s">
        <v>34</v>
      </c>
      <c r="K199" s="1">
        <v>7.0699999999999999E-2</v>
      </c>
      <c r="L199" t="s">
        <v>30</v>
      </c>
      <c r="M199">
        <v>22</v>
      </c>
      <c r="N199" t="s">
        <v>50</v>
      </c>
      <c r="O199" t="s">
        <v>243</v>
      </c>
      <c r="P199">
        <v>0</v>
      </c>
      <c r="Q199">
        <v>50</v>
      </c>
      <c r="R199" t="s">
        <v>36</v>
      </c>
      <c r="S199">
        <v>12</v>
      </c>
      <c r="T199">
        <v>12</v>
      </c>
      <c r="U199" t="s">
        <v>112</v>
      </c>
      <c r="V199" t="s">
        <v>37</v>
      </c>
      <c r="W199">
        <v>450</v>
      </c>
      <c r="X199">
        <v>60</v>
      </c>
      <c r="Y199" t="s">
        <v>38</v>
      </c>
      <c r="Z199">
        <v>20</v>
      </c>
      <c r="AA199" t="s">
        <v>39</v>
      </c>
      <c r="AB199">
        <v>20</v>
      </c>
      <c r="AC199" t="s">
        <v>40</v>
      </c>
    </row>
    <row r="200" spans="1:29" x14ac:dyDescent="0.25">
      <c r="A200" t="str">
        <f t="shared" si="1"/>
        <v>EEM_EG_Pavlovagyrans_raw_002_004_D4.csv</v>
      </c>
      <c r="B200" t="s">
        <v>29</v>
      </c>
      <c r="C200" t="s">
        <v>30</v>
      </c>
      <c r="D200" t="s">
        <v>30</v>
      </c>
      <c r="E200" t="s">
        <v>31</v>
      </c>
      <c r="F200">
        <v>2</v>
      </c>
      <c r="G200">
        <v>4</v>
      </c>
      <c r="H200" t="s">
        <v>71</v>
      </c>
      <c r="I200" t="s">
        <v>33</v>
      </c>
      <c r="J200" t="s">
        <v>34</v>
      </c>
      <c r="K200" s="1">
        <v>7.1199999999999999E-2</v>
      </c>
      <c r="L200" t="s">
        <v>30</v>
      </c>
      <c r="M200">
        <v>22</v>
      </c>
      <c r="N200" t="s">
        <v>90</v>
      </c>
      <c r="O200" t="s">
        <v>243</v>
      </c>
      <c r="P200">
        <v>0</v>
      </c>
      <c r="Q200">
        <v>50</v>
      </c>
      <c r="R200" t="s">
        <v>36</v>
      </c>
      <c r="S200">
        <v>12</v>
      </c>
      <c r="T200">
        <v>12</v>
      </c>
      <c r="U200" t="s">
        <v>112</v>
      </c>
      <c r="V200" t="s">
        <v>37</v>
      </c>
      <c r="W200">
        <v>450</v>
      </c>
      <c r="X200">
        <v>60</v>
      </c>
      <c r="Y200" t="s">
        <v>38</v>
      </c>
      <c r="Z200">
        <v>20</v>
      </c>
      <c r="AA200" t="s">
        <v>39</v>
      </c>
      <c r="AB200">
        <v>20</v>
      </c>
      <c r="AC200" t="s">
        <v>40</v>
      </c>
    </row>
    <row r="201" spans="1:29" x14ac:dyDescent="0.25">
      <c r="A201" t="str">
        <f t="shared" si="1"/>
        <v>EEM_EG_Pavlovagyrans_raw_002_004_D5.csv</v>
      </c>
      <c r="B201" t="s">
        <v>29</v>
      </c>
      <c r="C201" t="s">
        <v>30</v>
      </c>
      <c r="D201" t="s">
        <v>30</v>
      </c>
      <c r="E201" t="s">
        <v>31</v>
      </c>
      <c r="F201">
        <v>2</v>
      </c>
      <c r="G201">
        <v>4</v>
      </c>
      <c r="H201" t="s">
        <v>72</v>
      </c>
      <c r="I201" t="s">
        <v>33</v>
      </c>
      <c r="J201" t="s">
        <v>34</v>
      </c>
      <c r="K201" s="1">
        <v>7.5899999999999995E-2</v>
      </c>
      <c r="L201" t="s">
        <v>30</v>
      </c>
      <c r="M201">
        <v>22</v>
      </c>
      <c r="N201" t="s">
        <v>52</v>
      </c>
      <c r="O201" t="s">
        <v>243</v>
      </c>
      <c r="P201">
        <v>0</v>
      </c>
      <c r="Q201">
        <v>50</v>
      </c>
      <c r="R201" t="s">
        <v>36</v>
      </c>
      <c r="S201">
        <v>12</v>
      </c>
      <c r="T201">
        <v>12</v>
      </c>
      <c r="U201" t="s">
        <v>112</v>
      </c>
      <c r="V201" t="s">
        <v>37</v>
      </c>
      <c r="W201">
        <v>450</v>
      </c>
      <c r="X201">
        <v>60</v>
      </c>
      <c r="Y201" t="s">
        <v>38</v>
      </c>
      <c r="Z201">
        <v>20</v>
      </c>
      <c r="AA201" t="s">
        <v>39</v>
      </c>
      <c r="AB201">
        <v>20</v>
      </c>
      <c r="AC201" t="s">
        <v>40</v>
      </c>
    </row>
    <row r="202" spans="1:29" x14ac:dyDescent="0.25">
      <c r="A202" t="str">
        <f t="shared" si="1"/>
        <v>EEM_EG_Pavlovagyrans_raw_002_004_D6.csv</v>
      </c>
      <c r="B202" t="s">
        <v>29</v>
      </c>
      <c r="C202" t="s">
        <v>30</v>
      </c>
      <c r="D202" t="s">
        <v>30</v>
      </c>
      <c r="E202" t="s">
        <v>31</v>
      </c>
      <c r="F202">
        <v>2</v>
      </c>
      <c r="G202">
        <v>4</v>
      </c>
      <c r="H202" t="s">
        <v>73</v>
      </c>
      <c r="I202" t="s">
        <v>33</v>
      </c>
      <c r="J202" t="s">
        <v>34</v>
      </c>
      <c r="K202" s="1">
        <v>7.9299999999999995E-2</v>
      </c>
      <c r="L202" t="s">
        <v>30</v>
      </c>
      <c r="M202">
        <v>22</v>
      </c>
      <c r="N202" t="s">
        <v>92</v>
      </c>
      <c r="O202" t="s">
        <v>243</v>
      </c>
      <c r="P202">
        <v>0</v>
      </c>
      <c r="Q202">
        <v>50</v>
      </c>
      <c r="R202" t="s">
        <v>36</v>
      </c>
      <c r="S202">
        <v>12</v>
      </c>
      <c r="T202">
        <v>12</v>
      </c>
      <c r="U202" t="s">
        <v>112</v>
      </c>
      <c r="V202" t="s">
        <v>37</v>
      </c>
      <c r="W202">
        <v>450</v>
      </c>
      <c r="X202">
        <v>60</v>
      </c>
      <c r="Y202" t="s">
        <v>38</v>
      </c>
      <c r="Z202">
        <v>20</v>
      </c>
      <c r="AA202" t="s">
        <v>39</v>
      </c>
      <c r="AB202">
        <v>20</v>
      </c>
      <c r="AC202" t="s">
        <v>40</v>
      </c>
    </row>
    <row r="203" spans="1:29" x14ac:dyDescent="0.25">
      <c r="A203" t="str">
        <f t="shared" si="1"/>
        <v>EEM_EG_Pavlovagyrans_raw_002_004_D7.csv</v>
      </c>
      <c r="B203" t="s">
        <v>29</v>
      </c>
      <c r="C203" t="s">
        <v>30</v>
      </c>
      <c r="D203" t="s">
        <v>30</v>
      </c>
      <c r="E203" t="s">
        <v>31</v>
      </c>
      <c r="F203">
        <v>2</v>
      </c>
      <c r="G203">
        <v>4</v>
      </c>
      <c r="H203" t="s">
        <v>74</v>
      </c>
      <c r="I203" t="s">
        <v>33</v>
      </c>
      <c r="J203" t="s">
        <v>34</v>
      </c>
      <c r="K203" s="1">
        <v>8.72E-2</v>
      </c>
      <c r="L203" t="s">
        <v>30</v>
      </c>
      <c r="M203">
        <v>22</v>
      </c>
      <c r="N203" t="s">
        <v>54</v>
      </c>
      <c r="O203" t="s">
        <v>243</v>
      </c>
      <c r="P203">
        <v>0</v>
      </c>
      <c r="Q203">
        <v>50</v>
      </c>
      <c r="R203" t="s">
        <v>36</v>
      </c>
      <c r="S203">
        <v>12</v>
      </c>
      <c r="T203">
        <v>12</v>
      </c>
      <c r="U203" t="s">
        <v>112</v>
      </c>
      <c r="V203" t="s">
        <v>37</v>
      </c>
      <c r="W203">
        <v>450</v>
      </c>
      <c r="X203">
        <v>60</v>
      </c>
      <c r="Y203" t="s">
        <v>38</v>
      </c>
      <c r="Z203">
        <v>20</v>
      </c>
      <c r="AA203" t="s">
        <v>39</v>
      </c>
      <c r="AB203">
        <v>20</v>
      </c>
      <c r="AC203" t="s">
        <v>40</v>
      </c>
    </row>
    <row r="204" spans="1:29" x14ac:dyDescent="0.25">
      <c r="A204" t="str">
        <f t="shared" si="1"/>
        <v>EEM_EG_Pavlovagyrans_raw_002_004_D8.csv</v>
      </c>
      <c r="B204" t="s">
        <v>29</v>
      </c>
      <c r="C204" t="s">
        <v>30</v>
      </c>
      <c r="D204" t="s">
        <v>30</v>
      </c>
      <c r="E204" t="s">
        <v>31</v>
      </c>
      <c r="F204">
        <v>2</v>
      </c>
      <c r="G204">
        <v>4</v>
      </c>
      <c r="H204" t="s">
        <v>75</v>
      </c>
      <c r="I204" t="s">
        <v>33</v>
      </c>
      <c r="J204" t="s">
        <v>34</v>
      </c>
      <c r="K204" s="1">
        <v>0.08</v>
      </c>
      <c r="L204" t="s">
        <v>30</v>
      </c>
      <c r="M204">
        <v>22</v>
      </c>
      <c r="N204" t="s">
        <v>94</v>
      </c>
      <c r="O204" t="s">
        <v>243</v>
      </c>
      <c r="P204">
        <v>0</v>
      </c>
      <c r="Q204">
        <v>50</v>
      </c>
      <c r="R204" t="s">
        <v>36</v>
      </c>
      <c r="S204">
        <v>12</v>
      </c>
      <c r="T204">
        <v>12</v>
      </c>
      <c r="U204" t="s">
        <v>112</v>
      </c>
      <c r="V204" t="s">
        <v>37</v>
      </c>
      <c r="W204">
        <v>450</v>
      </c>
      <c r="X204">
        <v>60</v>
      </c>
      <c r="Y204" t="s">
        <v>38</v>
      </c>
      <c r="Z204">
        <v>20</v>
      </c>
      <c r="AA204" t="s">
        <v>39</v>
      </c>
      <c r="AB204">
        <v>20</v>
      </c>
      <c r="AC204" t="s">
        <v>40</v>
      </c>
    </row>
    <row r="205" spans="1:29" x14ac:dyDescent="0.25">
      <c r="A205" t="str">
        <f t="shared" si="1"/>
        <v>EEM_EG_Pavlovagyrans_raw_002_004_D9.csv</v>
      </c>
      <c r="B205" t="s">
        <v>29</v>
      </c>
      <c r="C205" t="s">
        <v>30</v>
      </c>
      <c r="D205" t="s">
        <v>30</v>
      </c>
      <c r="E205" t="s">
        <v>31</v>
      </c>
      <c r="F205">
        <v>2</v>
      </c>
      <c r="G205">
        <v>4</v>
      </c>
      <c r="H205" t="s">
        <v>76</v>
      </c>
      <c r="I205" t="s">
        <v>33</v>
      </c>
      <c r="J205" t="s">
        <v>34</v>
      </c>
      <c r="K205" s="1">
        <v>8.1600000000000006E-2</v>
      </c>
      <c r="L205" t="s">
        <v>30</v>
      </c>
      <c r="M205">
        <v>22</v>
      </c>
      <c r="N205" t="s">
        <v>56</v>
      </c>
      <c r="O205" t="s">
        <v>243</v>
      </c>
      <c r="P205">
        <v>0</v>
      </c>
      <c r="Q205">
        <v>50</v>
      </c>
      <c r="R205" t="s">
        <v>36</v>
      </c>
      <c r="S205">
        <v>12</v>
      </c>
      <c r="T205">
        <v>12</v>
      </c>
      <c r="U205" t="s">
        <v>112</v>
      </c>
      <c r="V205" t="s">
        <v>37</v>
      </c>
      <c r="W205">
        <v>450</v>
      </c>
      <c r="X205">
        <v>60</v>
      </c>
      <c r="Y205" t="s">
        <v>38</v>
      </c>
      <c r="Z205">
        <v>20</v>
      </c>
      <c r="AA205" t="s">
        <v>39</v>
      </c>
      <c r="AB205">
        <v>20</v>
      </c>
      <c r="AC205" t="s">
        <v>40</v>
      </c>
    </row>
    <row r="206" spans="1:29" x14ac:dyDescent="0.25">
      <c r="A206" t="str">
        <f t="shared" si="1"/>
        <v>EEM_EG_Pavlovagyrans_raw_002_004_D10.csv</v>
      </c>
      <c r="B206" t="s">
        <v>29</v>
      </c>
      <c r="C206" t="s">
        <v>30</v>
      </c>
      <c r="D206" t="s">
        <v>30</v>
      </c>
      <c r="E206" t="s">
        <v>31</v>
      </c>
      <c r="F206">
        <v>2</v>
      </c>
      <c r="G206">
        <v>4</v>
      </c>
      <c r="H206" t="s">
        <v>77</v>
      </c>
      <c r="I206" t="s">
        <v>33</v>
      </c>
      <c r="J206" t="s">
        <v>34</v>
      </c>
      <c r="K206" s="1">
        <v>9.1899999999999996E-2</v>
      </c>
      <c r="L206" t="s">
        <v>30</v>
      </c>
      <c r="M206">
        <v>22</v>
      </c>
      <c r="N206" t="s">
        <v>96</v>
      </c>
      <c r="O206" t="s">
        <v>243</v>
      </c>
      <c r="P206">
        <v>0</v>
      </c>
      <c r="Q206">
        <v>50</v>
      </c>
      <c r="R206" t="s">
        <v>36</v>
      </c>
      <c r="S206">
        <v>12</v>
      </c>
      <c r="T206">
        <v>12</v>
      </c>
      <c r="U206" t="s">
        <v>112</v>
      </c>
      <c r="V206" t="s">
        <v>37</v>
      </c>
      <c r="W206">
        <v>450</v>
      </c>
      <c r="X206">
        <v>60</v>
      </c>
      <c r="Y206" t="s">
        <v>38</v>
      </c>
      <c r="Z206">
        <v>20</v>
      </c>
      <c r="AA206" t="s">
        <v>39</v>
      </c>
      <c r="AB206">
        <v>20</v>
      </c>
      <c r="AC206" t="s">
        <v>40</v>
      </c>
    </row>
    <row r="207" spans="1:29" x14ac:dyDescent="0.25">
      <c r="A207" t="str">
        <f t="shared" si="1"/>
        <v>EEM_EG_Pavlovagyrans_raw_002_004_D11.csv</v>
      </c>
      <c r="B207" t="s">
        <v>29</v>
      </c>
      <c r="C207" t="s">
        <v>30</v>
      </c>
      <c r="D207" t="s">
        <v>30</v>
      </c>
      <c r="E207" t="s">
        <v>31</v>
      </c>
      <c r="F207">
        <v>2</v>
      </c>
      <c r="G207">
        <v>4</v>
      </c>
      <c r="H207" t="s">
        <v>78</v>
      </c>
      <c r="I207" t="s">
        <v>33</v>
      </c>
      <c r="J207" t="s">
        <v>34</v>
      </c>
      <c r="K207" s="1">
        <v>8.3299999999999999E-2</v>
      </c>
      <c r="L207" t="s">
        <v>30</v>
      </c>
      <c r="M207">
        <v>22</v>
      </c>
      <c r="N207" t="s">
        <v>58</v>
      </c>
      <c r="O207" t="s">
        <v>243</v>
      </c>
      <c r="P207">
        <v>0</v>
      </c>
      <c r="Q207">
        <v>50</v>
      </c>
      <c r="R207" t="s">
        <v>36</v>
      </c>
      <c r="S207">
        <v>12</v>
      </c>
      <c r="T207">
        <v>12</v>
      </c>
      <c r="U207" t="s">
        <v>112</v>
      </c>
      <c r="V207" t="s">
        <v>37</v>
      </c>
      <c r="W207">
        <v>450</v>
      </c>
      <c r="X207">
        <v>60</v>
      </c>
      <c r="Y207" t="s">
        <v>38</v>
      </c>
      <c r="Z207">
        <v>20</v>
      </c>
      <c r="AA207" t="s">
        <v>39</v>
      </c>
      <c r="AB207">
        <v>20</v>
      </c>
      <c r="AC207" t="s">
        <v>40</v>
      </c>
    </row>
    <row r="208" spans="1:29" x14ac:dyDescent="0.25">
      <c r="A208" t="str">
        <f t="shared" si="1"/>
        <v>EEM_EG_Pavlovagyrans_raw_002_004_E1.csv</v>
      </c>
      <c r="B208" t="s">
        <v>29</v>
      </c>
      <c r="C208" t="s">
        <v>30</v>
      </c>
      <c r="D208" t="s">
        <v>30</v>
      </c>
      <c r="E208" t="s">
        <v>31</v>
      </c>
      <c r="F208">
        <v>2</v>
      </c>
      <c r="G208">
        <v>4</v>
      </c>
      <c r="H208" t="s">
        <v>155</v>
      </c>
      <c r="I208" t="s">
        <v>33</v>
      </c>
      <c r="J208" t="s">
        <v>34</v>
      </c>
      <c r="K208" s="1">
        <v>0.17860000000000001</v>
      </c>
      <c r="L208" t="s">
        <v>30</v>
      </c>
      <c r="M208">
        <v>22</v>
      </c>
      <c r="N208" t="s">
        <v>48</v>
      </c>
      <c r="O208" t="s">
        <v>243</v>
      </c>
      <c r="P208">
        <v>0</v>
      </c>
      <c r="Q208">
        <v>50</v>
      </c>
      <c r="R208" t="s">
        <v>36</v>
      </c>
      <c r="S208">
        <v>12</v>
      </c>
      <c r="T208">
        <v>12</v>
      </c>
      <c r="U208" t="s">
        <v>112</v>
      </c>
      <c r="V208" t="s">
        <v>37</v>
      </c>
      <c r="W208">
        <v>450</v>
      </c>
      <c r="X208">
        <v>60</v>
      </c>
      <c r="Y208" t="s">
        <v>38</v>
      </c>
      <c r="Z208">
        <v>20</v>
      </c>
      <c r="AA208" t="s">
        <v>39</v>
      </c>
      <c r="AB208">
        <v>20</v>
      </c>
      <c r="AC208" t="s">
        <v>40</v>
      </c>
    </row>
    <row r="209" spans="1:29" x14ac:dyDescent="0.25">
      <c r="A209" t="str">
        <f t="shared" si="1"/>
        <v>EEM_EG_Pavlovagyrans_raw_002_004_E2.csv</v>
      </c>
      <c r="B209" t="s">
        <v>29</v>
      </c>
      <c r="C209" t="s">
        <v>30</v>
      </c>
      <c r="D209" t="s">
        <v>30</v>
      </c>
      <c r="E209" t="s">
        <v>31</v>
      </c>
      <c r="F209">
        <v>2</v>
      </c>
      <c r="G209">
        <v>4</v>
      </c>
      <c r="H209" t="s">
        <v>79</v>
      </c>
      <c r="I209" t="s">
        <v>33</v>
      </c>
      <c r="J209" t="s">
        <v>34</v>
      </c>
      <c r="K209" s="1">
        <v>9.4E-2</v>
      </c>
      <c r="L209" t="s">
        <v>30</v>
      </c>
      <c r="M209">
        <v>22</v>
      </c>
      <c r="N209" t="s">
        <v>88</v>
      </c>
      <c r="O209" t="s">
        <v>243</v>
      </c>
      <c r="P209">
        <v>0</v>
      </c>
      <c r="Q209">
        <v>50</v>
      </c>
      <c r="R209" t="s">
        <v>36</v>
      </c>
      <c r="S209">
        <v>12</v>
      </c>
      <c r="T209">
        <v>12</v>
      </c>
      <c r="U209" t="s">
        <v>112</v>
      </c>
      <c r="V209" t="s">
        <v>37</v>
      </c>
      <c r="W209">
        <v>450</v>
      </c>
      <c r="X209">
        <v>60</v>
      </c>
      <c r="Y209" t="s">
        <v>38</v>
      </c>
      <c r="Z209">
        <v>20</v>
      </c>
      <c r="AA209" t="s">
        <v>39</v>
      </c>
      <c r="AB209">
        <v>20</v>
      </c>
      <c r="AC209" t="s">
        <v>40</v>
      </c>
    </row>
    <row r="210" spans="1:29" x14ac:dyDescent="0.25">
      <c r="A210" t="str">
        <f t="shared" si="1"/>
        <v>EEM_EG_Pavlovagyrans_raw_002_004_E3.csv</v>
      </c>
      <c r="B210" t="s">
        <v>29</v>
      </c>
      <c r="C210" t="s">
        <v>30</v>
      </c>
      <c r="D210" t="s">
        <v>30</v>
      </c>
      <c r="E210" t="s">
        <v>31</v>
      </c>
      <c r="F210">
        <v>2</v>
      </c>
      <c r="G210">
        <v>4</v>
      </c>
      <c r="H210" t="s">
        <v>81</v>
      </c>
      <c r="I210" t="s">
        <v>33</v>
      </c>
      <c r="J210" t="s">
        <v>34</v>
      </c>
      <c r="K210" s="1">
        <v>7.9799999999999996E-2</v>
      </c>
      <c r="L210" t="s">
        <v>30</v>
      </c>
      <c r="M210">
        <v>22</v>
      </c>
      <c r="N210" t="s">
        <v>50</v>
      </c>
      <c r="O210" t="s">
        <v>243</v>
      </c>
      <c r="P210">
        <v>0</v>
      </c>
      <c r="Q210">
        <v>50</v>
      </c>
      <c r="R210" t="s">
        <v>36</v>
      </c>
      <c r="S210">
        <v>12</v>
      </c>
      <c r="T210">
        <v>12</v>
      </c>
      <c r="U210" t="s">
        <v>112</v>
      </c>
      <c r="V210" t="s">
        <v>37</v>
      </c>
      <c r="W210">
        <v>450</v>
      </c>
      <c r="X210">
        <v>60</v>
      </c>
      <c r="Y210" t="s">
        <v>38</v>
      </c>
      <c r="Z210">
        <v>20</v>
      </c>
      <c r="AA210" t="s">
        <v>39</v>
      </c>
      <c r="AB210">
        <v>20</v>
      </c>
      <c r="AC210" t="s">
        <v>40</v>
      </c>
    </row>
    <row r="211" spans="1:29" x14ac:dyDescent="0.25">
      <c r="A211" t="str">
        <f t="shared" si="1"/>
        <v>EEM_EG_Pavlovagyrans_raw_002_004_E4.csv</v>
      </c>
      <c r="B211" t="s">
        <v>29</v>
      </c>
      <c r="C211" t="s">
        <v>30</v>
      </c>
      <c r="D211" t="s">
        <v>30</v>
      </c>
      <c r="E211" t="s">
        <v>31</v>
      </c>
      <c r="F211">
        <v>2</v>
      </c>
      <c r="G211">
        <v>4</v>
      </c>
      <c r="H211" t="s">
        <v>83</v>
      </c>
      <c r="I211" t="s">
        <v>33</v>
      </c>
      <c r="J211" t="s">
        <v>34</v>
      </c>
      <c r="K211" s="1">
        <v>7.9299999999999995E-2</v>
      </c>
      <c r="L211" t="s">
        <v>30</v>
      </c>
      <c r="M211">
        <v>22</v>
      </c>
      <c r="N211" t="s">
        <v>90</v>
      </c>
      <c r="O211" t="s">
        <v>243</v>
      </c>
      <c r="P211">
        <v>0</v>
      </c>
      <c r="Q211">
        <v>50</v>
      </c>
      <c r="R211" t="s">
        <v>36</v>
      </c>
      <c r="S211">
        <v>12</v>
      </c>
      <c r="T211">
        <v>12</v>
      </c>
      <c r="U211" t="s">
        <v>112</v>
      </c>
      <c r="V211" t="s">
        <v>37</v>
      </c>
      <c r="W211">
        <v>450</v>
      </c>
      <c r="X211">
        <v>60</v>
      </c>
      <c r="Y211" t="s">
        <v>38</v>
      </c>
      <c r="Z211">
        <v>20</v>
      </c>
      <c r="AA211" t="s">
        <v>39</v>
      </c>
      <c r="AB211">
        <v>20</v>
      </c>
      <c r="AC211" t="s">
        <v>40</v>
      </c>
    </row>
    <row r="212" spans="1:29" x14ac:dyDescent="0.25">
      <c r="A212" t="str">
        <f t="shared" si="1"/>
        <v>EEM_EG_Pavlovagyrans_raw_002_004_E5.csv</v>
      </c>
      <c r="B212" t="s">
        <v>29</v>
      </c>
      <c r="C212" t="s">
        <v>30</v>
      </c>
      <c r="D212" t="s">
        <v>30</v>
      </c>
      <c r="E212" t="s">
        <v>31</v>
      </c>
      <c r="F212">
        <v>2</v>
      </c>
      <c r="G212">
        <v>4</v>
      </c>
      <c r="H212" t="s">
        <v>85</v>
      </c>
      <c r="I212" t="s">
        <v>33</v>
      </c>
      <c r="J212" t="s">
        <v>34</v>
      </c>
      <c r="K212" s="1">
        <v>6.93E-2</v>
      </c>
      <c r="L212" t="s">
        <v>30</v>
      </c>
      <c r="M212">
        <v>22</v>
      </c>
      <c r="N212" t="s">
        <v>52</v>
      </c>
      <c r="O212" t="s">
        <v>243</v>
      </c>
      <c r="P212">
        <v>0</v>
      </c>
      <c r="Q212">
        <v>50</v>
      </c>
      <c r="R212" t="s">
        <v>36</v>
      </c>
      <c r="S212">
        <v>12</v>
      </c>
      <c r="T212">
        <v>12</v>
      </c>
      <c r="U212" t="s">
        <v>112</v>
      </c>
      <c r="V212" t="s">
        <v>37</v>
      </c>
      <c r="W212">
        <v>450</v>
      </c>
      <c r="X212">
        <v>60</v>
      </c>
      <c r="Y212" t="s">
        <v>38</v>
      </c>
      <c r="Z212">
        <v>20</v>
      </c>
      <c r="AA212" t="s">
        <v>39</v>
      </c>
      <c r="AB212">
        <v>20</v>
      </c>
      <c r="AC212" t="s">
        <v>40</v>
      </c>
    </row>
    <row r="213" spans="1:29" x14ac:dyDescent="0.25">
      <c r="A213" t="str">
        <f t="shared" si="1"/>
        <v>EEM_EG_Pavlovagyrans_raw_002_004_E6.csv</v>
      </c>
      <c r="B213" t="s">
        <v>29</v>
      </c>
      <c r="C213" t="s">
        <v>30</v>
      </c>
      <c r="D213" t="s">
        <v>30</v>
      </c>
      <c r="E213" t="s">
        <v>31</v>
      </c>
      <c r="F213">
        <v>2</v>
      </c>
      <c r="G213">
        <v>4</v>
      </c>
      <c r="H213" t="s">
        <v>87</v>
      </c>
      <c r="I213" t="s">
        <v>33</v>
      </c>
      <c r="J213" t="s">
        <v>34</v>
      </c>
      <c r="K213" s="1">
        <v>8.1600000000000006E-2</v>
      </c>
      <c r="L213" t="s">
        <v>30</v>
      </c>
      <c r="M213">
        <v>22</v>
      </c>
      <c r="N213" t="s">
        <v>92</v>
      </c>
      <c r="O213" t="s">
        <v>243</v>
      </c>
      <c r="P213">
        <v>0</v>
      </c>
      <c r="Q213">
        <v>50</v>
      </c>
      <c r="R213" t="s">
        <v>36</v>
      </c>
      <c r="S213">
        <v>12</v>
      </c>
      <c r="T213">
        <v>12</v>
      </c>
      <c r="U213" t="s">
        <v>112</v>
      </c>
      <c r="V213" t="s">
        <v>37</v>
      </c>
      <c r="W213">
        <v>450</v>
      </c>
      <c r="X213">
        <v>60</v>
      </c>
      <c r="Y213" t="s">
        <v>38</v>
      </c>
      <c r="Z213">
        <v>20</v>
      </c>
      <c r="AA213" t="s">
        <v>39</v>
      </c>
      <c r="AB213">
        <v>20</v>
      </c>
      <c r="AC213" t="s">
        <v>40</v>
      </c>
    </row>
    <row r="214" spans="1:29" x14ac:dyDescent="0.25">
      <c r="A214" t="str">
        <f t="shared" si="1"/>
        <v>EEM_EG_Pavlovagyrans_raw_002_004_E7.csv</v>
      </c>
      <c r="B214" t="s">
        <v>29</v>
      </c>
      <c r="C214" t="s">
        <v>30</v>
      </c>
      <c r="D214" t="s">
        <v>30</v>
      </c>
      <c r="E214" t="s">
        <v>31</v>
      </c>
      <c r="F214">
        <v>2</v>
      </c>
      <c r="G214">
        <v>4</v>
      </c>
      <c r="H214" t="s">
        <v>89</v>
      </c>
      <c r="I214" t="s">
        <v>33</v>
      </c>
      <c r="J214" t="s">
        <v>34</v>
      </c>
      <c r="K214" s="1">
        <v>7.4099999999999999E-2</v>
      </c>
      <c r="L214" t="s">
        <v>30</v>
      </c>
      <c r="M214">
        <v>22</v>
      </c>
      <c r="N214" t="s">
        <v>54</v>
      </c>
      <c r="O214" t="s">
        <v>243</v>
      </c>
      <c r="P214">
        <v>0</v>
      </c>
      <c r="Q214">
        <v>50</v>
      </c>
      <c r="R214" t="s">
        <v>36</v>
      </c>
      <c r="S214">
        <v>12</v>
      </c>
      <c r="T214">
        <v>12</v>
      </c>
      <c r="U214" t="s">
        <v>112</v>
      </c>
      <c r="V214" t="s">
        <v>37</v>
      </c>
      <c r="W214">
        <v>450</v>
      </c>
      <c r="X214">
        <v>60</v>
      </c>
      <c r="Y214" t="s">
        <v>38</v>
      </c>
      <c r="Z214">
        <v>20</v>
      </c>
      <c r="AA214" t="s">
        <v>39</v>
      </c>
      <c r="AB214">
        <v>20</v>
      </c>
      <c r="AC214" t="s">
        <v>40</v>
      </c>
    </row>
    <row r="215" spans="1:29" x14ac:dyDescent="0.25">
      <c r="A215" t="str">
        <f t="shared" si="1"/>
        <v>EEM_EG_Pavlovagyrans_raw_002_004_E8.csv</v>
      </c>
      <c r="B215" t="s">
        <v>29</v>
      </c>
      <c r="C215" t="s">
        <v>30</v>
      </c>
      <c r="D215" t="s">
        <v>30</v>
      </c>
      <c r="E215" t="s">
        <v>31</v>
      </c>
      <c r="F215">
        <v>2</v>
      </c>
      <c r="G215">
        <v>4</v>
      </c>
      <c r="H215" t="s">
        <v>91</v>
      </c>
      <c r="I215" t="s">
        <v>33</v>
      </c>
      <c r="J215" t="s">
        <v>34</v>
      </c>
      <c r="K215" s="1">
        <v>7.5200000000000003E-2</v>
      </c>
      <c r="L215" t="s">
        <v>30</v>
      </c>
      <c r="M215">
        <v>22</v>
      </c>
      <c r="N215" t="s">
        <v>94</v>
      </c>
      <c r="O215" t="s">
        <v>243</v>
      </c>
      <c r="P215">
        <v>0</v>
      </c>
      <c r="Q215">
        <v>50</v>
      </c>
      <c r="R215" t="s">
        <v>36</v>
      </c>
      <c r="S215">
        <v>12</v>
      </c>
      <c r="T215">
        <v>12</v>
      </c>
      <c r="U215" t="s">
        <v>112</v>
      </c>
      <c r="V215" t="s">
        <v>37</v>
      </c>
      <c r="W215">
        <v>450</v>
      </c>
      <c r="X215">
        <v>60</v>
      </c>
      <c r="Y215" t="s">
        <v>38</v>
      </c>
      <c r="Z215">
        <v>20</v>
      </c>
      <c r="AA215" t="s">
        <v>39</v>
      </c>
      <c r="AB215">
        <v>20</v>
      </c>
      <c r="AC215" t="s">
        <v>40</v>
      </c>
    </row>
    <row r="216" spans="1:29" x14ac:dyDescent="0.25">
      <c r="A216" t="str">
        <f t="shared" si="1"/>
        <v>EEM_EG_Pavlovagyrans_raw_002_004_E9.csv</v>
      </c>
      <c r="B216" t="s">
        <v>29</v>
      </c>
      <c r="C216" t="s">
        <v>30</v>
      </c>
      <c r="D216" t="s">
        <v>30</v>
      </c>
      <c r="E216" t="s">
        <v>31</v>
      </c>
      <c r="F216">
        <v>2</v>
      </c>
      <c r="G216">
        <v>4</v>
      </c>
      <c r="H216" t="s">
        <v>93</v>
      </c>
      <c r="I216" t="s">
        <v>33</v>
      </c>
      <c r="J216" t="s">
        <v>34</v>
      </c>
      <c r="K216" s="1">
        <v>8.6699999999999999E-2</v>
      </c>
      <c r="L216" t="s">
        <v>30</v>
      </c>
      <c r="M216">
        <v>22</v>
      </c>
      <c r="N216" t="s">
        <v>56</v>
      </c>
      <c r="O216" t="s">
        <v>243</v>
      </c>
      <c r="P216">
        <v>0</v>
      </c>
      <c r="Q216">
        <v>50</v>
      </c>
      <c r="R216" t="s">
        <v>36</v>
      </c>
      <c r="S216">
        <v>12</v>
      </c>
      <c r="T216">
        <v>12</v>
      </c>
      <c r="U216" t="s">
        <v>112</v>
      </c>
      <c r="V216" t="s">
        <v>37</v>
      </c>
      <c r="W216">
        <v>450</v>
      </c>
      <c r="X216">
        <v>60</v>
      </c>
      <c r="Y216" t="s">
        <v>38</v>
      </c>
      <c r="Z216">
        <v>20</v>
      </c>
      <c r="AA216" t="s">
        <v>39</v>
      </c>
      <c r="AB216">
        <v>20</v>
      </c>
      <c r="AC216" t="s">
        <v>40</v>
      </c>
    </row>
    <row r="217" spans="1:29" x14ac:dyDescent="0.25">
      <c r="A217" t="str">
        <f t="shared" si="1"/>
        <v>EEM_EG_Pavlovagyrans_raw_002_004_E10.csv</v>
      </c>
      <c r="B217" t="s">
        <v>29</v>
      </c>
      <c r="C217" t="s">
        <v>30</v>
      </c>
      <c r="D217" t="s">
        <v>30</v>
      </c>
      <c r="E217" t="s">
        <v>31</v>
      </c>
      <c r="F217">
        <v>2</v>
      </c>
      <c r="G217">
        <v>4</v>
      </c>
      <c r="H217" t="s">
        <v>95</v>
      </c>
      <c r="I217" t="s">
        <v>33</v>
      </c>
      <c r="J217" t="s">
        <v>34</v>
      </c>
      <c r="K217" s="1">
        <v>9.1300000000000006E-2</v>
      </c>
      <c r="L217" t="s">
        <v>30</v>
      </c>
      <c r="M217">
        <v>22</v>
      </c>
      <c r="N217" t="s">
        <v>96</v>
      </c>
      <c r="O217" t="s">
        <v>243</v>
      </c>
      <c r="P217">
        <v>0</v>
      </c>
      <c r="Q217">
        <v>50</v>
      </c>
      <c r="R217" t="s">
        <v>36</v>
      </c>
      <c r="S217">
        <v>12</v>
      </c>
      <c r="T217">
        <v>12</v>
      </c>
      <c r="U217" t="s">
        <v>112</v>
      </c>
      <c r="V217" t="s">
        <v>37</v>
      </c>
      <c r="W217">
        <v>450</v>
      </c>
      <c r="X217">
        <v>60</v>
      </c>
      <c r="Y217" t="s">
        <v>38</v>
      </c>
      <c r="Z217">
        <v>20</v>
      </c>
      <c r="AA217" t="s">
        <v>39</v>
      </c>
      <c r="AB217">
        <v>20</v>
      </c>
      <c r="AC217" t="s">
        <v>40</v>
      </c>
    </row>
    <row r="218" spans="1:29" x14ac:dyDescent="0.25">
      <c r="A218" t="str">
        <f t="shared" si="1"/>
        <v>EEM_EG_Pavlovagyrans_raw_002_004_E11.csv</v>
      </c>
      <c r="B218" t="s">
        <v>29</v>
      </c>
      <c r="C218" t="s">
        <v>30</v>
      </c>
      <c r="D218" t="s">
        <v>30</v>
      </c>
      <c r="E218" t="s">
        <v>31</v>
      </c>
      <c r="F218">
        <v>2</v>
      </c>
      <c r="G218">
        <v>4</v>
      </c>
      <c r="H218" t="s">
        <v>97</v>
      </c>
      <c r="I218" t="s">
        <v>33</v>
      </c>
      <c r="J218" t="s">
        <v>34</v>
      </c>
      <c r="K218" s="1">
        <v>8.0799999999999997E-2</v>
      </c>
      <c r="L218" t="s">
        <v>30</v>
      </c>
      <c r="M218">
        <v>22</v>
      </c>
      <c r="N218" t="s">
        <v>58</v>
      </c>
      <c r="O218" t="s">
        <v>243</v>
      </c>
      <c r="P218">
        <v>0</v>
      </c>
      <c r="Q218">
        <v>50</v>
      </c>
      <c r="R218" t="s">
        <v>36</v>
      </c>
      <c r="S218">
        <v>12</v>
      </c>
      <c r="T218">
        <v>12</v>
      </c>
      <c r="U218" t="s">
        <v>112</v>
      </c>
      <c r="V218" t="s">
        <v>37</v>
      </c>
      <c r="W218">
        <v>450</v>
      </c>
      <c r="X218">
        <v>60</v>
      </c>
      <c r="Y218" t="s">
        <v>38</v>
      </c>
      <c r="Z218">
        <v>20</v>
      </c>
      <c r="AA218" t="s">
        <v>39</v>
      </c>
      <c r="AB218">
        <v>20</v>
      </c>
      <c r="AC218" t="s">
        <v>40</v>
      </c>
    </row>
    <row r="219" spans="1:29" x14ac:dyDescent="0.25">
      <c r="A219" t="str">
        <f t="shared" si="1"/>
        <v>EEM_EG_Pavlovagyrans_raw_002_004_F1.csv</v>
      </c>
      <c r="B219" t="s">
        <v>29</v>
      </c>
      <c r="C219" t="s">
        <v>30</v>
      </c>
      <c r="D219" t="s">
        <v>30</v>
      </c>
      <c r="E219" t="s">
        <v>31</v>
      </c>
      <c r="F219">
        <v>2</v>
      </c>
      <c r="G219">
        <v>4</v>
      </c>
      <c r="H219" t="s">
        <v>164</v>
      </c>
      <c r="I219" t="s">
        <v>33</v>
      </c>
      <c r="J219" t="s">
        <v>34</v>
      </c>
      <c r="K219" s="1">
        <v>6.8599999999999994E-2</v>
      </c>
      <c r="L219" t="s">
        <v>30</v>
      </c>
      <c r="M219">
        <v>22</v>
      </c>
      <c r="N219" t="s">
        <v>48</v>
      </c>
      <c r="O219" t="s">
        <v>243</v>
      </c>
      <c r="P219">
        <v>0</v>
      </c>
      <c r="Q219">
        <v>50</v>
      </c>
      <c r="R219" t="s">
        <v>36</v>
      </c>
      <c r="S219">
        <v>12</v>
      </c>
      <c r="T219">
        <v>12</v>
      </c>
      <c r="U219" t="s">
        <v>112</v>
      </c>
      <c r="V219" t="s">
        <v>37</v>
      </c>
      <c r="W219">
        <v>450</v>
      </c>
      <c r="X219">
        <v>60</v>
      </c>
      <c r="Y219" t="s">
        <v>38</v>
      </c>
      <c r="Z219">
        <v>20</v>
      </c>
      <c r="AA219" t="s">
        <v>39</v>
      </c>
      <c r="AB219">
        <v>20</v>
      </c>
      <c r="AC219" t="s">
        <v>40</v>
      </c>
    </row>
    <row r="220" spans="1:29" x14ac:dyDescent="0.25">
      <c r="A220" t="str">
        <f t="shared" si="1"/>
        <v>EEM_EG_Pavlovagyrans_raw_002_004_F2.csv</v>
      </c>
      <c r="B220" t="s">
        <v>29</v>
      </c>
      <c r="C220" t="s">
        <v>30</v>
      </c>
      <c r="D220" t="s">
        <v>30</v>
      </c>
      <c r="E220" t="s">
        <v>31</v>
      </c>
      <c r="F220">
        <v>2</v>
      </c>
      <c r="G220">
        <v>4</v>
      </c>
      <c r="H220" t="s">
        <v>98</v>
      </c>
      <c r="I220" t="s">
        <v>33</v>
      </c>
      <c r="J220" t="s">
        <v>34</v>
      </c>
      <c r="K220" s="1">
        <v>7.2599999999999998E-2</v>
      </c>
      <c r="L220" t="s">
        <v>30</v>
      </c>
      <c r="M220">
        <v>22</v>
      </c>
      <c r="N220" t="s">
        <v>88</v>
      </c>
      <c r="O220" t="s">
        <v>243</v>
      </c>
      <c r="P220">
        <v>0</v>
      </c>
      <c r="Q220">
        <v>50</v>
      </c>
      <c r="R220" t="s">
        <v>36</v>
      </c>
      <c r="S220">
        <v>12</v>
      </c>
      <c r="T220">
        <v>12</v>
      </c>
      <c r="U220" t="s">
        <v>112</v>
      </c>
      <c r="V220" t="s">
        <v>37</v>
      </c>
      <c r="W220">
        <v>450</v>
      </c>
      <c r="X220">
        <v>60</v>
      </c>
      <c r="Y220" t="s">
        <v>38</v>
      </c>
      <c r="Z220">
        <v>20</v>
      </c>
      <c r="AA220" t="s">
        <v>39</v>
      </c>
      <c r="AB220">
        <v>20</v>
      </c>
      <c r="AC220" t="s">
        <v>40</v>
      </c>
    </row>
    <row r="221" spans="1:29" x14ac:dyDescent="0.25">
      <c r="A221" t="str">
        <f t="shared" si="1"/>
        <v>EEM_EG_Pavlovagyrans_raw_002_004_F3.csv</v>
      </c>
      <c r="B221" t="s">
        <v>29</v>
      </c>
      <c r="C221" t="s">
        <v>30</v>
      </c>
      <c r="D221" t="s">
        <v>30</v>
      </c>
      <c r="E221" t="s">
        <v>31</v>
      </c>
      <c r="F221">
        <v>2</v>
      </c>
      <c r="G221">
        <v>4</v>
      </c>
      <c r="H221" t="s">
        <v>99</v>
      </c>
      <c r="I221" t="s">
        <v>33</v>
      </c>
      <c r="J221" t="s">
        <v>34</v>
      </c>
      <c r="K221" s="1">
        <v>7.0199999999999999E-2</v>
      </c>
      <c r="L221" t="s">
        <v>30</v>
      </c>
      <c r="M221">
        <v>22</v>
      </c>
      <c r="N221" t="s">
        <v>50</v>
      </c>
      <c r="O221" t="s">
        <v>243</v>
      </c>
      <c r="P221">
        <v>0</v>
      </c>
      <c r="Q221">
        <v>50</v>
      </c>
      <c r="R221" t="s">
        <v>36</v>
      </c>
      <c r="S221">
        <v>12</v>
      </c>
      <c r="T221">
        <v>12</v>
      </c>
      <c r="U221" t="s">
        <v>112</v>
      </c>
      <c r="V221" t="s">
        <v>37</v>
      </c>
      <c r="W221">
        <v>450</v>
      </c>
      <c r="X221">
        <v>60</v>
      </c>
      <c r="Y221" t="s">
        <v>38</v>
      </c>
      <c r="Z221">
        <v>20</v>
      </c>
      <c r="AA221" t="s">
        <v>39</v>
      </c>
      <c r="AB221">
        <v>20</v>
      </c>
      <c r="AC221" t="s">
        <v>40</v>
      </c>
    </row>
    <row r="222" spans="1:29" x14ac:dyDescent="0.25">
      <c r="A222" t="str">
        <f t="shared" si="1"/>
        <v>EEM_EG_Pavlovagyrans_raw_002_004_F4.csv</v>
      </c>
      <c r="B222" t="s">
        <v>29</v>
      </c>
      <c r="C222" t="s">
        <v>30</v>
      </c>
      <c r="D222" t="s">
        <v>30</v>
      </c>
      <c r="E222" t="s">
        <v>31</v>
      </c>
      <c r="F222">
        <v>2</v>
      </c>
      <c r="G222">
        <v>4</v>
      </c>
      <c r="H222" t="s">
        <v>100</v>
      </c>
      <c r="I222" t="s">
        <v>33</v>
      </c>
      <c r="J222" t="s">
        <v>34</v>
      </c>
      <c r="K222" s="1">
        <v>7.0400000000000004E-2</v>
      </c>
      <c r="L222" t="s">
        <v>30</v>
      </c>
      <c r="M222">
        <v>22</v>
      </c>
      <c r="N222" t="s">
        <v>90</v>
      </c>
      <c r="O222" t="s">
        <v>243</v>
      </c>
      <c r="P222">
        <v>0</v>
      </c>
      <c r="Q222">
        <v>50</v>
      </c>
      <c r="R222" t="s">
        <v>36</v>
      </c>
      <c r="S222">
        <v>12</v>
      </c>
      <c r="T222">
        <v>12</v>
      </c>
      <c r="U222" t="s">
        <v>112</v>
      </c>
      <c r="V222" t="s">
        <v>37</v>
      </c>
      <c r="W222">
        <v>450</v>
      </c>
      <c r="X222">
        <v>60</v>
      </c>
      <c r="Y222" t="s">
        <v>38</v>
      </c>
      <c r="Z222">
        <v>20</v>
      </c>
      <c r="AA222" t="s">
        <v>39</v>
      </c>
      <c r="AB222">
        <v>20</v>
      </c>
      <c r="AC222" t="s">
        <v>40</v>
      </c>
    </row>
    <row r="223" spans="1:29" x14ac:dyDescent="0.25">
      <c r="A223" t="str">
        <f t="shared" si="1"/>
        <v>EEM_EG_Pavlovagyrans_raw_002_004_F5.csv</v>
      </c>
      <c r="B223" t="s">
        <v>29</v>
      </c>
      <c r="C223" t="s">
        <v>30</v>
      </c>
      <c r="D223" t="s">
        <v>30</v>
      </c>
      <c r="E223" t="s">
        <v>31</v>
      </c>
      <c r="F223">
        <v>2</v>
      </c>
      <c r="G223">
        <v>4</v>
      </c>
      <c r="H223" t="s">
        <v>101</v>
      </c>
      <c r="I223" t="s">
        <v>33</v>
      </c>
      <c r="J223" t="s">
        <v>34</v>
      </c>
      <c r="K223" s="1">
        <v>6.7900000000000002E-2</v>
      </c>
      <c r="L223" t="s">
        <v>30</v>
      </c>
      <c r="M223">
        <v>22</v>
      </c>
      <c r="N223" t="s">
        <v>52</v>
      </c>
      <c r="O223" t="s">
        <v>243</v>
      </c>
      <c r="P223">
        <v>0</v>
      </c>
      <c r="Q223">
        <v>50</v>
      </c>
      <c r="R223" t="s">
        <v>36</v>
      </c>
      <c r="S223">
        <v>12</v>
      </c>
      <c r="T223">
        <v>12</v>
      </c>
      <c r="U223" t="s">
        <v>112</v>
      </c>
      <c r="V223" t="s">
        <v>37</v>
      </c>
      <c r="W223">
        <v>450</v>
      </c>
      <c r="X223">
        <v>60</v>
      </c>
      <c r="Y223" t="s">
        <v>38</v>
      </c>
      <c r="Z223">
        <v>20</v>
      </c>
      <c r="AA223" t="s">
        <v>39</v>
      </c>
      <c r="AB223">
        <v>20</v>
      </c>
      <c r="AC223" t="s">
        <v>40</v>
      </c>
    </row>
    <row r="224" spans="1:29" x14ac:dyDescent="0.25">
      <c r="A224" t="str">
        <f t="shared" si="1"/>
        <v>EEM_EG_Pavlovagyrans_raw_002_004_F6.csv</v>
      </c>
      <c r="B224" t="s">
        <v>29</v>
      </c>
      <c r="C224" t="s">
        <v>30</v>
      </c>
      <c r="D224" t="s">
        <v>30</v>
      </c>
      <c r="E224" t="s">
        <v>31</v>
      </c>
      <c r="F224">
        <v>2</v>
      </c>
      <c r="G224">
        <v>4</v>
      </c>
      <c r="H224" t="s">
        <v>102</v>
      </c>
      <c r="I224" t="s">
        <v>33</v>
      </c>
      <c r="J224" t="s">
        <v>34</v>
      </c>
      <c r="K224" s="1">
        <v>7.9799999999999996E-2</v>
      </c>
      <c r="L224" t="s">
        <v>30</v>
      </c>
      <c r="M224">
        <v>22</v>
      </c>
      <c r="N224" t="s">
        <v>92</v>
      </c>
      <c r="O224" t="s">
        <v>243</v>
      </c>
      <c r="P224">
        <v>0</v>
      </c>
      <c r="Q224">
        <v>50</v>
      </c>
      <c r="R224" t="s">
        <v>36</v>
      </c>
      <c r="S224">
        <v>12</v>
      </c>
      <c r="T224">
        <v>12</v>
      </c>
      <c r="U224" t="s">
        <v>112</v>
      </c>
      <c r="V224" t="s">
        <v>37</v>
      </c>
      <c r="W224">
        <v>450</v>
      </c>
      <c r="X224">
        <v>60</v>
      </c>
      <c r="Y224" t="s">
        <v>38</v>
      </c>
      <c r="Z224">
        <v>20</v>
      </c>
      <c r="AA224" t="s">
        <v>39</v>
      </c>
      <c r="AB224">
        <v>20</v>
      </c>
      <c r="AC224" t="s">
        <v>40</v>
      </c>
    </row>
    <row r="225" spans="1:29" x14ac:dyDescent="0.25">
      <c r="A225" t="str">
        <f t="shared" si="1"/>
        <v>EEM_EG_Pavlovagyrans_raw_002_004_F7.csv</v>
      </c>
      <c r="B225" t="s">
        <v>29</v>
      </c>
      <c r="C225" t="s">
        <v>30</v>
      </c>
      <c r="D225" t="s">
        <v>30</v>
      </c>
      <c r="E225" t="s">
        <v>31</v>
      </c>
      <c r="F225">
        <v>2</v>
      </c>
      <c r="G225">
        <v>4</v>
      </c>
      <c r="H225" t="s">
        <v>103</v>
      </c>
      <c r="I225" t="s">
        <v>33</v>
      </c>
      <c r="J225" t="s">
        <v>34</v>
      </c>
      <c r="K225" s="1">
        <v>6.9099999999999995E-2</v>
      </c>
      <c r="L225" t="s">
        <v>30</v>
      </c>
      <c r="M225">
        <v>22</v>
      </c>
      <c r="N225" t="s">
        <v>54</v>
      </c>
      <c r="O225" t="s">
        <v>243</v>
      </c>
      <c r="P225">
        <v>0</v>
      </c>
      <c r="Q225">
        <v>50</v>
      </c>
      <c r="R225" t="s">
        <v>36</v>
      </c>
      <c r="S225">
        <v>12</v>
      </c>
      <c r="T225">
        <v>12</v>
      </c>
      <c r="U225" t="s">
        <v>112</v>
      </c>
      <c r="V225" t="s">
        <v>37</v>
      </c>
      <c r="W225">
        <v>450</v>
      </c>
      <c r="X225">
        <v>60</v>
      </c>
      <c r="Y225" t="s">
        <v>38</v>
      </c>
      <c r="Z225">
        <v>20</v>
      </c>
      <c r="AA225" t="s">
        <v>39</v>
      </c>
      <c r="AB225">
        <v>20</v>
      </c>
      <c r="AC225" t="s">
        <v>40</v>
      </c>
    </row>
    <row r="226" spans="1:29" x14ac:dyDescent="0.25">
      <c r="A226" t="str">
        <f t="shared" si="1"/>
        <v>EEM_EG_Pavlovagyrans_raw_002_004_F8.csv</v>
      </c>
      <c r="B226" t="s">
        <v>29</v>
      </c>
      <c r="C226" t="s">
        <v>30</v>
      </c>
      <c r="D226" t="s">
        <v>30</v>
      </c>
      <c r="E226" t="s">
        <v>31</v>
      </c>
      <c r="F226">
        <v>2</v>
      </c>
      <c r="G226">
        <v>4</v>
      </c>
      <c r="H226" t="s">
        <v>104</v>
      </c>
      <c r="I226" t="s">
        <v>33</v>
      </c>
      <c r="J226" t="s">
        <v>34</v>
      </c>
      <c r="K226" s="1">
        <v>6.9800000000000001E-2</v>
      </c>
      <c r="L226" t="s">
        <v>30</v>
      </c>
      <c r="M226">
        <v>22</v>
      </c>
      <c r="N226" t="s">
        <v>94</v>
      </c>
      <c r="O226" t="s">
        <v>243</v>
      </c>
      <c r="P226">
        <v>0</v>
      </c>
      <c r="Q226">
        <v>50</v>
      </c>
      <c r="R226" t="s">
        <v>36</v>
      </c>
      <c r="S226">
        <v>12</v>
      </c>
      <c r="T226">
        <v>12</v>
      </c>
      <c r="U226" t="s">
        <v>112</v>
      </c>
      <c r="V226" t="s">
        <v>37</v>
      </c>
      <c r="W226">
        <v>450</v>
      </c>
      <c r="X226">
        <v>60</v>
      </c>
      <c r="Y226" t="s">
        <v>38</v>
      </c>
      <c r="Z226">
        <v>20</v>
      </c>
      <c r="AA226" t="s">
        <v>39</v>
      </c>
      <c r="AB226">
        <v>20</v>
      </c>
      <c r="AC226" t="s">
        <v>40</v>
      </c>
    </row>
    <row r="227" spans="1:29" x14ac:dyDescent="0.25">
      <c r="A227" t="str">
        <f t="shared" si="1"/>
        <v>EEM_EG_Pavlovagyrans_raw_002_004_F9.csv</v>
      </c>
      <c r="B227" t="s">
        <v>29</v>
      </c>
      <c r="C227" t="s">
        <v>30</v>
      </c>
      <c r="D227" t="s">
        <v>30</v>
      </c>
      <c r="E227" t="s">
        <v>31</v>
      </c>
      <c r="F227">
        <v>2</v>
      </c>
      <c r="G227">
        <v>4</v>
      </c>
      <c r="H227" t="s">
        <v>105</v>
      </c>
      <c r="I227" t="s">
        <v>33</v>
      </c>
      <c r="J227" t="s">
        <v>34</v>
      </c>
      <c r="K227" s="1">
        <v>8.3599999999999994E-2</v>
      </c>
      <c r="L227" t="s">
        <v>30</v>
      </c>
      <c r="M227">
        <v>22</v>
      </c>
      <c r="N227" t="s">
        <v>56</v>
      </c>
      <c r="O227" t="s">
        <v>243</v>
      </c>
      <c r="P227">
        <v>0</v>
      </c>
      <c r="Q227">
        <v>50</v>
      </c>
      <c r="R227" t="s">
        <v>36</v>
      </c>
      <c r="S227">
        <v>12</v>
      </c>
      <c r="T227">
        <v>12</v>
      </c>
      <c r="U227" t="s">
        <v>112</v>
      </c>
      <c r="V227" t="s">
        <v>37</v>
      </c>
      <c r="W227">
        <v>450</v>
      </c>
      <c r="X227">
        <v>60</v>
      </c>
      <c r="Y227" t="s">
        <v>38</v>
      </c>
      <c r="Z227">
        <v>20</v>
      </c>
      <c r="AA227" t="s">
        <v>39</v>
      </c>
      <c r="AB227">
        <v>20</v>
      </c>
      <c r="AC227" t="s">
        <v>40</v>
      </c>
    </row>
    <row r="228" spans="1:29" x14ac:dyDescent="0.25">
      <c r="A228" t="str">
        <f t="shared" si="1"/>
        <v>EEM_EG_Pavlovagyrans_raw_002_004_F10.csv</v>
      </c>
      <c r="B228" t="s">
        <v>29</v>
      </c>
      <c r="C228" t="s">
        <v>30</v>
      </c>
      <c r="D228" t="s">
        <v>30</v>
      </c>
      <c r="E228" t="s">
        <v>31</v>
      </c>
      <c r="F228">
        <v>2</v>
      </c>
      <c r="G228">
        <v>4</v>
      </c>
      <c r="H228" t="s">
        <v>106</v>
      </c>
      <c r="I228" t="s">
        <v>33</v>
      </c>
      <c r="J228" t="s">
        <v>34</v>
      </c>
      <c r="K228" s="1">
        <v>8.4699999999999998E-2</v>
      </c>
      <c r="L228" t="s">
        <v>30</v>
      </c>
      <c r="M228">
        <v>22</v>
      </c>
      <c r="N228" t="s">
        <v>96</v>
      </c>
      <c r="O228" t="s">
        <v>243</v>
      </c>
      <c r="P228">
        <v>0</v>
      </c>
      <c r="Q228">
        <v>50</v>
      </c>
      <c r="R228" t="s">
        <v>36</v>
      </c>
      <c r="S228">
        <v>12</v>
      </c>
      <c r="T228">
        <v>12</v>
      </c>
      <c r="U228" t="s">
        <v>112</v>
      </c>
      <c r="V228" t="s">
        <v>37</v>
      </c>
      <c r="W228">
        <v>450</v>
      </c>
      <c r="X228">
        <v>60</v>
      </c>
      <c r="Y228" t="s">
        <v>38</v>
      </c>
      <c r="Z228">
        <v>20</v>
      </c>
      <c r="AA228" t="s">
        <v>39</v>
      </c>
      <c r="AB228">
        <v>20</v>
      </c>
      <c r="AC228" t="s">
        <v>40</v>
      </c>
    </row>
    <row r="229" spans="1:29" x14ac:dyDescent="0.25">
      <c r="A229" t="str">
        <f t="shared" ref="A229" si="2">"EEM_EG_Pavlovagyrans_raw_002_004_"&amp;H229&amp;".csv"</f>
        <v>EEM_EG_Pavlovagyrans_raw_002_004_F11.csv</v>
      </c>
      <c r="B229" t="s">
        <v>29</v>
      </c>
      <c r="C229" t="s">
        <v>30</v>
      </c>
      <c r="D229" t="s">
        <v>30</v>
      </c>
      <c r="E229" t="s">
        <v>31</v>
      </c>
      <c r="F229">
        <v>2</v>
      </c>
      <c r="G229">
        <v>4</v>
      </c>
      <c r="H229" t="s">
        <v>107</v>
      </c>
      <c r="I229" t="s">
        <v>33</v>
      </c>
      <c r="J229" t="s">
        <v>34</v>
      </c>
      <c r="K229" s="1">
        <v>7.9600000000000004E-2</v>
      </c>
      <c r="L229" t="s">
        <v>30</v>
      </c>
      <c r="M229">
        <v>22</v>
      </c>
      <c r="N229" t="s">
        <v>58</v>
      </c>
      <c r="O229" t="s">
        <v>243</v>
      </c>
      <c r="P229">
        <v>0</v>
      </c>
      <c r="Q229">
        <v>50</v>
      </c>
      <c r="R229" t="s">
        <v>36</v>
      </c>
      <c r="S229">
        <v>12</v>
      </c>
      <c r="T229">
        <v>12</v>
      </c>
      <c r="U229" t="s">
        <v>112</v>
      </c>
      <c r="V229" t="s">
        <v>37</v>
      </c>
      <c r="W229">
        <v>450</v>
      </c>
      <c r="X229">
        <v>60</v>
      </c>
      <c r="Y229" t="s">
        <v>38</v>
      </c>
      <c r="Z229">
        <v>20</v>
      </c>
      <c r="AA229" t="s">
        <v>39</v>
      </c>
      <c r="AB229">
        <v>20</v>
      </c>
      <c r="AC229" t="s">
        <v>40</v>
      </c>
    </row>
    <row r="230" spans="1:29" x14ac:dyDescent="0.25">
      <c r="A230" t="str">
        <f>"EEM_EG_Pavlovagyrans_raw_002_005_"&amp;H230&amp;".csv"</f>
        <v>EEM_EG_Pavlovagyrans_raw_002_005_A1.csv</v>
      </c>
      <c r="B230" t="s">
        <v>29</v>
      </c>
      <c r="C230" t="s">
        <v>30</v>
      </c>
      <c r="D230" t="s">
        <v>30</v>
      </c>
      <c r="E230" t="s">
        <v>31</v>
      </c>
      <c r="F230">
        <v>2</v>
      </c>
      <c r="G230">
        <v>5</v>
      </c>
      <c r="H230" t="s">
        <v>110</v>
      </c>
      <c r="I230" t="s">
        <v>33</v>
      </c>
      <c r="J230" t="s">
        <v>34</v>
      </c>
      <c r="K230" s="1">
        <v>7.8700000000000006E-2</v>
      </c>
      <c r="L230" t="s">
        <v>30</v>
      </c>
      <c r="M230">
        <v>22</v>
      </c>
      <c r="N230" t="s">
        <v>35</v>
      </c>
      <c r="O230" t="s">
        <v>242</v>
      </c>
      <c r="P230">
        <v>336</v>
      </c>
      <c r="Q230">
        <v>100</v>
      </c>
      <c r="R230" t="s">
        <v>36</v>
      </c>
      <c r="S230">
        <v>12</v>
      </c>
      <c r="T230">
        <v>12</v>
      </c>
      <c r="U230" t="s">
        <v>112</v>
      </c>
      <c r="V230" t="s">
        <v>37</v>
      </c>
      <c r="W230">
        <v>450</v>
      </c>
      <c r="X230">
        <v>60</v>
      </c>
      <c r="Y230" t="s">
        <v>38</v>
      </c>
      <c r="Z230">
        <v>20</v>
      </c>
      <c r="AA230" t="s">
        <v>39</v>
      </c>
      <c r="AB230">
        <v>20</v>
      </c>
      <c r="AC230" t="s">
        <v>40</v>
      </c>
    </row>
    <row r="231" spans="1:29" x14ac:dyDescent="0.25">
      <c r="A231" t="str">
        <f t="shared" ref="A231:A277" si="3">"EEM_EG_Pavlovagyrans_raw_002_005_"&amp;H231&amp;".csv"</f>
        <v>EEM_EG_Pavlovagyrans_raw_002_005_A2.csv</v>
      </c>
      <c r="B231" t="s">
        <v>29</v>
      </c>
      <c r="C231" t="s">
        <v>30</v>
      </c>
      <c r="D231" t="s">
        <v>30</v>
      </c>
      <c r="E231" t="s">
        <v>31</v>
      </c>
      <c r="F231">
        <v>2</v>
      </c>
      <c r="G231">
        <v>5</v>
      </c>
      <c r="H231" t="s">
        <v>114</v>
      </c>
      <c r="I231" t="s">
        <v>33</v>
      </c>
      <c r="J231" t="s">
        <v>34</v>
      </c>
      <c r="K231" s="1">
        <v>0.17100000000000001</v>
      </c>
      <c r="L231" t="s">
        <v>30</v>
      </c>
      <c r="M231">
        <v>22</v>
      </c>
      <c r="N231" t="s">
        <v>80</v>
      </c>
      <c r="O231" t="s">
        <v>242</v>
      </c>
      <c r="P231">
        <v>336</v>
      </c>
      <c r="Q231">
        <v>100</v>
      </c>
      <c r="R231" t="s">
        <v>36</v>
      </c>
      <c r="S231">
        <v>12</v>
      </c>
      <c r="T231">
        <v>12</v>
      </c>
      <c r="U231" t="s">
        <v>112</v>
      </c>
      <c r="V231" t="s">
        <v>37</v>
      </c>
      <c r="W231">
        <v>450</v>
      </c>
      <c r="X231">
        <v>60</v>
      </c>
      <c r="Y231" t="s">
        <v>38</v>
      </c>
      <c r="Z231">
        <v>20</v>
      </c>
      <c r="AA231" t="s">
        <v>39</v>
      </c>
      <c r="AB231">
        <v>20</v>
      </c>
      <c r="AC231" t="s">
        <v>40</v>
      </c>
    </row>
    <row r="232" spans="1:29" x14ac:dyDescent="0.25">
      <c r="A232" t="str">
        <f t="shared" si="3"/>
        <v>EEM_EG_Pavlovagyrans_raw_002_005_A3.csv</v>
      </c>
      <c r="B232" t="s">
        <v>29</v>
      </c>
      <c r="C232" t="s">
        <v>30</v>
      </c>
      <c r="D232" t="s">
        <v>30</v>
      </c>
      <c r="E232" t="s">
        <v>31</v>
      </c>
      <c r="F232">
        <v>2</v>
      </c>
      <c r="G232">
        <v>5</v>
      </c>
      <c r="H232" t="s">
        <v>116</v>
      </c>
      <c r="I232" t="s">
        <v>33</v>
      </c>
      <c r="J232" t="s">
        <v>34</v>
      </c>
      <c r="K232" s="1">
        <v>0.15260000000000001</v>
      </c>
      <c r="L232" t="s">
        <v>30</v>
      </c>
      <c r="M232">
        <v>22</v>
      </c>
      <c r="N232" t="s">
        <v>42</v>
      </c>
      <c r="O232" t="s">
        <v>242</v>
      </c>
      <c r="P232">
        <v>336</v>
      </c>
      <c r="Q232">
        <v>100</v>
      </c>
      <c r="R232" t="s">
        <v>36</v>
      </c>
      <c r="S232">
        <v>12</v>
      </c>
      <c r="T232">
        <v>12</v>
      </c>
      <c r="U232" t="s">
        <v>112</v>
      </c>
      <c r="V232" t="s">
        <v>37</v>
      </c>
      <c r="W232">
        <v>450</v>
      </c>
      <c r="X232">
        <v>60</v>
      </c>
      <c r="Y232" t="s">
        <v>38</v>
      </c>
      <c r="Z232">
        <v>20</v>
      </c>
      <c r="AA232" t="s">
        <v>39</v>
      </c>
      <c r="AB232">
        <v>20</v>
      </c>
      <c r="AC232" t="s">
        <v>40</v>
      </c>
    </row>
    <row r="233" spans="1:29" x14ac:dyDescent="0.25">
      <c r="A233" t="str">
        <f t="shared" si="3"/>
        <v>EEM_EG_Pavlovagyrans_raw_002_005_A4.csv</v>
      </c>
      <c r="B233" t="s">
        <v>29</v>
      </c>
      <c r="C233" t="s">
        <v>30</v>
      </c>
      <c r="D233" t="s">
        <v>30</v>
      </c>
      <c r="E233" t="s">
        <v>31</v>
      </c>
      <c r="F233">
        <v>2</v>
      </c>
      <c r="G233">
        <v>5</v>
      </c>
      <c r="H233" t="s">
        <v>118</v>
      </c>
      <c r="I233" t="s">
        <v>33</v>
      </c>
      <c r="J233" t="s">
        <v>34</v>
      </c>
      <c r="K233" s="1">
        <v>0.1651</v>
      </c>
      <c r="L233" t="s">
        <v>30</v>
      </c>
      <c r="M233">
        <v>22</v>
      </c>
      <c r="N233" t="s">
        <v>82</v>
      </c>
      <c r="O233" t="s">
        <v>242</v>
      </c>
      <c r="P233">
        <v>336</v>
      </c>
      <c r="Q233">
        <v>100</v>
      </c>
      <c r="R233" t="s">
        <v>36</v>
      </c>
      <c r="S233">
        <v>12</v>
      </c>
      <c r="T233">
        <v>12</v>
      </c>
      <c r="U233" t="s">
        <v>112</v>
      </c>
      <c r="V233" t="s">
        <v>37</v>
      </c>
      <c r="W233">
        <v>450</v>
      </c>
      <c r="X233">
        <v>60</v>
      </c>
      <c r="Y233" t="s">
        <v>38</v>
      </c>
      <c r="Z233">
        <v>20</v>
      </c>
      <c r="AA233" t="s">
        <v>39</v>
      </c>
      <c r="AB233">
        <v>20</v>
      </c>
      <c r="AC233" t="s">
        <v>40</v>
      </c>
    </row>
    <row r="234" spans="1:29" x14ac:dyDescent="0.25">
      <c r="A234" t="str">
        <f t="shared" si="3"/>
        <v>EEM_EG_Pavlovagyrans_raw_002_005_A5.csv</v>
      </c>
      <c r="B234" t="s">
        <v>29</v>
      </c>
      <c r="C234" t="s">
        <v>30</v>
      </c>
      <c r="D234" t="s">
        <v>30</v>
      </c>
      <c r="E234" t="s">
        <v>31</v>
      </c>
      <c r="F234">
        <v>2</v>
      </c>
      <c r="G234">
        <v>5</v>
      </c>
      <c r="H234" t="s">
        <v>120</v>
      </c>
      <c r="I234" t="s">
        <v>33</v>
      </c>
      <c r="J234" t="s">
        <v>34</v>
      </c>
      <c r="K234" s="1">
        <v>0.1502</v>
      </c>
      <c r="L234" t="s">
        <v>30</v>
      </c>
      <c r="M234">
        <v>22</v>
      </c>
      <c r="N234" t="s">
        <v>44</v>
      </c>
      <c r="O234" t="s">
        <v>242</v>
      </c>
      <c r="P234">
        <v>336</v>
      </c>
      <c r="Q234">
        <v>100</v>
      </c>
      <c r="R234" t="s">
        <v>36</v>
      </c>
      <c r="S234">
        <v>12</v>
      </c>
      <c r="T234">
        <v>12</v>
      </c>
      <c r="U234" t="s">
        <v>112</v>
      </c>
      <c r="V234" t="s">
        <v>37</v>
      </c>
      <c r="W234">
        <v>450</v>
      </c>
      <c r="X234">
        <v>60</v>
      </c>
      <c r="Y234" t="s">
        <v>38</v>
      </c>
      <c r="Z234">
        <v>20</v>
      </c>
      <c r="AA234" t="s">
        <v>39</v>
      </c>
      <c r="AB234">
        <v>20</v>
      </c>
      <c r="AC234" t="s">
        <v>40</v>
      </c>
    </row>
    <row r="235" spans="1:29" x14ac:dyDescent="0.25">
      <c r="A235" t="str">
        <f t="shared" si="3"/>
        <v>EEM_EG_Pavlovagyrans_raw_002_005_A6.csv</v>
      </c>
      <c r="B235" t="s">
        <v>29</v>
      </c>
      <c r="C235" t="s">
        <v>30</v>
      </c>
      <c r="D235" t="s">
        <v>30</v>
      </c>
      <c r="E235" t="s">
        <v>31</v>
      </c>
      <c r="F235">
        <v>2</v>
      </c>
      <c r="G235">
        <v>5</v>
      </c>
      <c r="H235" t="s">
        <v>122</v>
      </c>
      <c r="I235" t="s">
        <v>33</v>
      </c>
      <c r="J235" t="s">
        <v>34</v>
      </c>
      <c r="K235" s="1">
        <v>0.1512</v>
      </c>
      <c r="L235" t="s">
        <v>30</v>
      </c>
      <c r="M235">
        <v>22</v>
      </c>
      <c r="N235" t="s">
        <v>84</v>
      </c>
      <c r="O235" t="s">
        <v>242</v>
      </c>
      <c r="P235">
        <v>336</v>
      </c>
      <c r="Q235">
        <v>100</v>
      </c>
      <c r="R235" t="s">
        <v>36</v>
      </c>
      <c r="S235">
        <v>12</v>
      </c>
      <c r="T235">
        <v>12</v>
      </c>
      <c r="U235" t="s">
        <v>112</v>
      </c>
      <c r="V235" t="s">
        <v>37</v>
      </c>
      <c r="W235">
        <v>450</v>
      </c>
      <c r="X235">
        <v>60</v>
      </c>
      <c r="Y235" t="s">
        <v>38</v>
      </c>
      <c r="Z235">
        <v>20</v>
      </c>
      <c r="AA235" t="s">
        <v>39</v>
      </c>
      <c r="AB235">
        <v>20</v>
      </c>
      <c r="AC235" t="s">
        <v>40</v>
      </c>
    </row>
    <row r="236" spans="1:29" x14ac:dyDescent="0.25">
      <c r="A236" t="str">
        <f t="shared" si="3"/>
        <v>EEM_EG_Pavlovagyrans_raw_002_005_A7.csv</v>
      </c>
      <c r="B236" t="s">
        <v>29</v>
      </c>
      <c r="C236" t="s">
        <v>30</v>
      </c>
      <c r="D236" t="s">
        <v>30</v>
      </c>
      <c r="E236" t="s">
        <v>31</v>
      </c>
      <c r="F236">
        <v>2</v>
      </c>
      <c r="G236">
        <v>5</v>
      </c>
      <c r="H236" t="s">
        <v>124</v>
      </c>
      <c r="I236" t="s">
        <v>33</v>
      </c>
      <c r="J236" t="s">
        <v>34</v>
      </c>
      <c r="K236" s="1">
        <v>0.15340000000000001</v>
      </c>
      <c r="L236" t="s">
        <v>30</v>
      </c>
      <c r="M236">
        <v>22</v>
      </c>
      <c r="N236" t="s">
        <v>46</v>
      </c>
      <c r="O236" t="s">
        <v>242</v>
      </c>
      <c r="P236">
        <v>336</v>
      </c>
      <c r="Q236">
        <v>100</v>
      </c>
      <c r="R236" t="s">
        <v>36</v>
      </c>
      <c r="S236">
        <v>12</v>
      </c>
      <c r="T236">
        <v>12</v>
      </c>
      <c r="U236" t="s">
        <v>112</v>
      </c>
      <c r="V236" t="s">
        <v>37</v>
      </c>
      <c r="W236">
        <v>450</v>
      </c>
      <c r="X236">
        <v>60</v>
      </c>
      <c r="Y236" t="s">
        <v>38</v>
      </c>
      <c r="Z236">
        <v>20</v>
      </c>
      <c r="AA236" t="s">
        <v>39</v>
      </c>
      <c r="AB236">
        <v>20</v>
      </c>
      <c r="AC236" t="s">
        <v>40</v>
      </c>
    </row>
    <row r="237" spans="1:29" x14ac:dyDescent="0.25">
      <c r="A237" t="str">
        <f t="shared" si="3"/>
        <v>EEM_EG_Pavlovagyrans_raw_002_005_A8.csv</v>
      </c>
      <c r="B237" t="s">
        <v>29</v>
      </c>
      <c r="C237" t="s">
        <v>30</v>
      </c>
      <c r="D237" t="s">
        <v>30</v>
      </c>
      <c r="E237" t="s">
        <v>31</v>
      </c>
      <c r="F237">
        <v>2</v>
      </c>
      <c r="G237">
        <v>5</v>
      </c>
      <c r="H237" t="s">
        <v>126</v>
      </c>
      <c r="I237" t="s">
        <v>33</v>
      </c>
      <c r="J237" t="s">
        <v>34</v>
      </c>
      <c r="K237" s="1">
        <v>0.15390000000000001</v>
      </c>
      <c r="L237" t="s">
        <v>30</v>
      </c>
      <c r="M237">
        <v>22</v>
      </c>
      <c r="N237" t="s">
        <v>86</v>
      </c>
      <c r="O237" t="s">
        <v>242</v>
      </c>
      <c r="P237">
        <v>336</v>
      </c>
      <c r="Q237">
        <v>100</v>
      </c>
      <c r="R237" t="s">
        <v>36</v>
      </c>
      <c r="S237">
        <v>12</v>
      </c>
      <c r="T237">
        <v>12</v>
      </c>
      <c r="U237" t="s">
        <v>112</v>
      </c>
      <c r="V237" t="s">
        <v>37</v>
      </c>
      <c r="W237">
        <v>450</v>
      </c>
      <c r="X237">
        <v>60</v>
      </c>
      <c r="Y237" t="s">
        <v>38</v>
      </c>
      <c r="Z237">
        <v>20</v>
      </c>
      <c r="AA237" t="s">
        <v>39</v>
      </c>
      <c r="AB237">
        <v>20</v>
      </c>
      <c r="AC237" t="s">
        <v>40</v>
      </c>
    </row>
    <row r="238" spans="1:29" x14ac:dyDescent="0.25">
      <c r="A238" t="str">
        <f t="shared" si="3"/>
        <v>EEM_EG_Pavlovagyrans_raw_002_005_B1.csv</v>
      </c>
      <c r="B238" t="s">
        <v>29</v>
      </c>
      <c r="C238" t="s">
        <v>30</v>
      </c>
      <c r="D238" t="s">
        <v>30</v>
      </c>
      <c r="E238" t="s">
        <v>31</v>
      </c>
      <c r="F238">
        <v>2</v>
      </c>
      <c r="G238">
        <v>5</v>
      </c>
      <c r="H238" t="s">
        <v>128</v>
      </c>
      <c r="I238" t="s">
        <v>33</v>
      </c>
      <c r="J238" t="s">
        <v>34</v>
      </c>
      <c r="K238" s="1">
        <v>8.0799999999999997E-2</v>
      </c>
      <c r="L238" t="s">
        <v>30</v>
      </c>
      <c r="M238">
        <v>22</v>
      </c>
      <c r="N238" t="s">
        <v>35</v>
      </c>
      <c r="O238" t="s">
        <v>242</v>
      </c>
      <c r="P238">
        <v>336</v>
      </c>
      <c r="Q238">
        <v>100</v>
      </c>
      <c r="R238" t="s">
        <v>36</v>
      </c>
      <c r="S238">
        <v>12</v>
      </c>
      <c r="T238">
        <v>12</v>
      </c>
      <c r="U238" t="s">
        <v>112</v>
      </c>
      <c r="V238" t="s">
        <v>37</v>
      </c>
      <c r="W238">
        <v>450</v>
      </c>
      <c r="X238">
        <v>60</v>
      </c>
      <c r="Y238" t="s">
        <v>38</v>
      </c>
      <c r="Z238">
        <v>20</v>
      </c>
      <c r="AA238" t="s">
        <v>39</v>
      </c>
      <c r="AB238">
        <v>20</v>
      </c>
      <c r="AC238" t="s">
        <v>40</v>
      </c>
    </row>
    <row r="239" spans="1:29" x14ac:dyDescent="0.25">
      <c r="A239" t="str">
        <f t="shared" si="3"/>
        <v>EEM_EG_Pavlovagyrans_raw_002_005_B2.csv</v>
      </c>
      <c r="B239" t="s">
        <v>29</v>
      </c>
      <c r="C239" t="s">
        <v>30</v>
      </c>
      <c r="D239" t="s">
        <v>30</v>
      </c>
      <c r="E239" t="s">
        <v>31</v>
      </c>
      <c r="F239">
        <v>2</v>
      </c>
      <c r="G239">
        <v>5</v>
      </c>
      <c r="H239" t="s">
        <v>32</v>
      </c>
      <c r="I239" t="s">
        <v>33</v>
      </c>
      <c r="J239" t="s">
        <v>34</v>
      </c>
      <c r="K239" s="1">
        <v>0.12609999999999999</v>
      </c>
      <c r="L239" t="s">
        <v>30</v>
      </c>
      <c r="M239">
        <v>22</v>
      </c>
      <c r="N239" t="s">
        <v>80</v>
      </c>
      <c r="O239" t="s">
        <v>242</v>
      </c>
      <c r="P239">
        <v>336</v>
      </c>
      <c r="Q239">
        <v>100</v>
      </c>
      <c r="R239" t="s">
        <v>36</v>
      </c>
      <c r="S239">
        <v>12</v>
      </c>
      <c r="T239">
        <v>12</v>
      </c>
      <c r="U239" t="s">
        <v>112</v>
      </c>
      <c r="V239" t="s">
        <v>37</v>
      </c>
      <c r="W239">
        <v>450</v>
      </c>
      <c r="X239">
        <v>60</v>
      </c>
      <c r="Y239" t="s">
        <v>38</v>
      </c>
      <c r="Z239">
        <v>20</v>
      </c>
      <c r="AA239" t="s">
        <v>39</v>
      </c>
      <c r="AB239">
        <v>20</v>
      </c>
      <c r="AC239" t="s">
        <v>40</v>
      </c>
    </row>
    <row r="240" spans="1:29" x14ac:dyDescent="0.25">
      <c r="A240" t="str">
        <f t="shared" si="3"/>
        <v>EEM_EG_Pavlovagyrans_raw_002_005_B3.csv</v>
      </c>
      <c r="B240" t="s">
        <v>29</v>
      </c>
      <c r="C240" t="s">
        <v>30</v>
      </c>
      <c r="D240" t="s">
        <v>30</v>
      </c>
      <c r="E240" t="s">
        <v>31</v>
      </c>
      <c r="F240">
        <v>2</v>
      </c>
      <c r="G240">
        <v>5</v>
      </c>
      <c r="H240" t="s">
        <v>41</v>
      </c>
      <c r="I240" t="s">
        <v>33</v>
      </c>
      <c r="J240" t="s">
        <v>34</v>
      </c>
      <c r="K240" s="1">
        <v>0.12239999999999999</v>
      </c>
      <c r="L240" t="s">
        <v>30</v>
      </c>
      <c r="M240">
        <v>22</v>
      </c>
      <c r="N240" t="s">
        <v>42</v>
      </c>
      <c r="O240" t="s">
        <v>242</v>
      </c>
      <c r="P240">
        <v>336</v>
      </c>
      <c r="Q240">
        <v>100</v>
      </c>
      <c r="R240" t="s">
        <v>36</v>
      </c>
      <c r="S240">
        <v>12</v>
      </c>
      <c r="T240">
        <v>12</v>
      </c>
      <c r="U240" t="s">
        <v>112</v>
      </c>
      <c r="V240" t="s">
        <v>37</v>
      </c>
      <c r="W240">
        <v>450</v>
      </c>
      <c r="X240">
        <v>60</v>
      </c>
      <c r="Y240" t="s">
        <v>38</v>
      </c>
      <c r="Z240">
        <v>20</v>
      </c>
      <c r="AA240" t="s">
        <v>39</v>
      </c>
      <c r="AB240">
        <v>20</v>
      </c>
      <c r="AC240" t="s">
        <v>40</v>
      </c>
    </row>
    <row r="241" spans="1:29" x14ac:dyDescent="0.25">
      <c r="A241" t="str">
        <f t="shared" si="3"/>
        <v>EEM_EG_Pavlovagyrans_raw_002_005_B4.csv</v>
      </c>
      <c r="B241" t="s">
        <v>29</v>
      </c>
      <c r="C241" t="s">
        <v>30</v>
      </c>
      <c r="D241" t="s">
        <v>30</v>
      </c>
      <c r="E241" t="s">
        <v>31</v>
      </c>
      <c r="F241">
        <v>2</v>
      </c>
      <c r="G241">
        <v>5</v>
      </c>
      <c r="H241" t="s">
        <v>43</v>
      </c>
      <c r="I241" t="s">
        <v>33</v>
      </c>
      <c r="J241" t="s">
        <v>34</v>
      </c>
      <c r="K241" s="1">
        <v>0.14710000000000001</v>
      </c>
      <c r="L241" t="s">
        <v>30</v>
      </c>
      <c r="M241">
        <v>22</v>
      </c>
      <c r="N241" t="s">
        <v>82</v>
      </c>
      <c r="O241" t="s">
        <v>242</v>
      </c>
      <c r="P241">
        <v>336</v>
      </c>
      <c r="Q241">
        <v>100</v>
      </c>
      <c r="R241" t="s">
        <v>36</v>
      </c>
      <c r="S241">
        <v>12</v>
      </c>
      <c r="T241">
        <v>12</v>
      </c>
      <c r="U241" t="s">
        <v>112</v>
      </c>
      <c r="V241" t="s">
        <v>37</v>
      </c>
      <c r="W241">
        <v>450</v>
      </c>
      <c r="X241">
        <v>60</v>
      </c>
      <c r="Y241" t="s">
        <v>38</v>
      </c>
      <c r="Z241">
        <v>20</v>
      </c>
      <c r="AA241" t="s">
        <v>39</v>
      </c>
      <c r="AB241">
        <v>20</v>
      </c>
      <c r="AC241" t="s">
        <v>40</v>
      </c>
    </row>
    <row r="242" spans="1:29" x14ac:dyDescent="0.25">
      <c r="A242" t="str">
        <f t="shared" si="3"/>
        <v>EEM_EG_Pavlovagyrans_raw_002_005_B5.csv</v>
      </c>
      <c r="B242" t="s">
        <v>29</v>
      </c>
      <c r="C242" t="s">
        <v>30</v>
      </c>
      <c r="D242" t="s">
        <v>30</v>
      </c>
      <c r="E242" t="s">
        <v>31</v>
      </c>
      <c r="F242">
        <v>2</v>
      </c>
      <c r="G242">
        <v>5</v>
      </c>
      <c r="H242" t="s">
        <v>45</v>
      </c>
      <c r="I242" t="s">
        <v>33</v>
      </c>
      <c r="J242" t="s">
        <v>34</v>
      </c>
      <c r="K242" s="1">
        <v>0.1454</v>
      </c>
      <c r="L242" t="s">
        <v>30</v>
      </c>
      <c r="M242">
        <v>22</v>
      </c>
      <c r="N242" t="s">
        <v>44</v>
      </c>
      <c r="O242" t="s">
        <v>242</v>
      </c>
      <c r="P242">
        <v>336</v>
      </c>
      <c r="Q242">
        <v>100</v>
      </c>
      <c r="R242" t="s">
        <v>36</v>
      </c>
      <c r="S242">
        <v>12</v>
      </c>
      <c r="T242">
        <v>12</v>
      </c>
      <c r="U242" t="s">
        <v>112</v>
      </c>
      <c r="V242" t="s">
        <v>37</v>
      </c>
      <c r="W242">
        <v>450</v>
      </c>
      <c r="X242">
        <v>60</v>
      </c>
      <c r="Y242" t="s">
        <v>38</v>
      </c>
      <c r="Z242">
        <v>20</v>
      </c>
      <c r="AA242" t="s">
        <v>39</v>
      </c>
      <c r="AB242">
        <v>20</v>
      </c>
      <c r="AC242" t="s">
        <v>40</v>
      </c>
    </row>
    <row r="243" spans="1:29" x14ac:dyDescent="0.25">
      <c r="A243" t="str">
        <f t="shared" si="3"/>
        <v>EEM_EG_Pavlovagyrans_raw_002_005_B6.csv</v>
      </c>
      <c r="B243" t="s">
        <v>29</v>
      </c>
      <c r="C243" t="s">
        <v>30</v>
      </c>
      <c r="D243" t="s">
        <v>30</v>
      </c>
      <c r="E243" t="s">
        <v>31</v>
      </c>
      <c r="F243">
        <v>2</v>
      </c>
      <c r="G243">
        <v>5</v>
      </c>
      <c r="H243" t="s">
        <v>47</v>
      </c>
      <c r="I243" t="s">
        <v>33</v>
      </c>
      <c r="J243" t="s">
        <v>34</v>
      </c>
      <c r="K243" s="1">
        <v>0.14749999999999999</v>
      </c>
      <c r="L243" t="s">
        <v>30</v>
      </c>
      <c r="M243">
        <v>22</v>
      </c>
      <c r="N243" t="s">
        <v>84</v>
      </c>
      <c r="O243" t="s">
        <v>242</v>
      </c>
      <c r="P243">
        <v>336</v>
      </c>
      <c r="Q243">
        <v>100</v>
      </c>
      <c r="R243" t="s">
        <v>36</v>
      </c>
      <c r="S243">
        <v>12</v>
      </c>
      <c r="T243">
        <v>12</v>
      </c>
      <c r="U243" t="s">
        <v>112</v>
      </c>
      <c r="V243" t="s">
        <v>37</v>
      </c>
      <c r="W243">
        <v>450</v>
      </c>
      <c r="X243">
        <v>60</v>
      </c>
      <c r="Y243" t="s">
        <v>38</v>
      </c>
      <c r="Z243">
        <v>20</v>
      </c>
      <c r="AA243" t="s">
        <v>39</v>
      </c>
      <c r="AB243">
        <v>20</v>
      </c>
      <c r="AC243" t="s">
        <v>40</v>
      </c>
    </row>
    <row r="244" spans="1:29" x14ac:dyDescent="0.25">
      <c r="A244" t="str">
        <f t="shared" si="3"/>
        <v>EEM_EG_Pavlovagyrans_raw_002_005_B7.csv</v>
      </c>
      <c r="B244" t="s">
        <v>29</v>
      </c>
      <c r="C244" t="s">
        <v>30</v>
      </c>
      <c r="D244" t="s">
        <v>30</v>
      </c>
      <c r="E244" t="s">
        <v>31</v>
      </c>
      <c r="F244">
        <v>2</v>
      </c>
      <c r="G244">
        <v>5</v>
      </c>
      <c r="H244" t="s">
        <v>49</v>
      </c>
      <c r="I244" t="s">
        <v>33</v>
      </c>
      <c r="J244" t="s">
        <v>34</v>
      </c>
      <c r="K244" s="1">
        <v>0.157</v>
      </c>
      <c r="L244" t="s">
        <v>30</v>
      </c>
      <c r="M244">
        <v>22</v>
      </c>
      <c r="N244" t="s">
        <v>46</v>
      </c>
      <c r="O244" t="s">
        <v>242</v>
      </c>
      <c r="P244">
        <v>336</v>
      </c>
      <c r="Q244">
        <v>100</v>
      </c>
      <c r="R244" t="s">
        <v>36</v>
      </c>
      <c r="S244">
        <v>12</v>
      </c>
      <c r="T244">
        <v>12</v>
      </c>
      <c r="U244" t="s">
        <v>112</v>
      </c>
      <c r="V244" t="s">
        <v>37</v>
      </c>
      <c r="W244">
        <v>450</v>
      </c>
      <c r="X244">
        <v>60</v>
      </c>
      <c r="Y244" t="s">
        <v>38</v>
      </c>
      <c r="Z244">
        <v>20</v>
      </c>
      <c r="AA244" t="s">
        <v>39</v>
      </c>
      <c r="AB244">
        <v>20</v>
      </c>
      <c r="AC244" t="s">
        <v>40</v>
      </c>
    </row>
    <row r="245" spans="1:29" x14ac:dyDescent="0.25">
      <c r="A245" t="str">
        <f t="shared" si="3"/>
        <v>EEM_EG_Pavlovagyrans_raw_002_005_B8.csv</v>
      </c>
      <c r="B245" t="s">
        <v>29</v>
      </c>
      <c r="C245" t="s">
        <v>30</v>
      </c>
      <c r="D245" t="s">
        <v>30</v>
      </c>
      <c r="E245" t="s">
        <v>31</v>
      </c>
      <c r="F245">
        <v>2</v>
      </c>
      <c r="G245">
        <v>5</v>
      </c>
      <c r="H245" t="s">
        <v>51</v>
      </c>
      <c r="I245" t="s">
        <v>33</v>
      </c>
      <c r="J245" t="s">
        <v>34</v>
      </c>
      <c r="K245" s="1">
        <v>0.17349999999999999</v>
      </c>
      <c r="L245" t="s">
        <v>30</v>
      </c>
      <c r="M245">
        <v>22</v>
      </c>
      <c r="N245" t="s">
        <v>86</v>
      </c>
      <c r="O245" t="s">
        <v>242</v>
      </c>
      <c r="P245">
        <v>336</v>
      </c>
      <c r="Q245">
        <v>100</v>
      </c>
      <c r="R245" t="s">
        <v>36</v>
      </c>
      <c r="S245">
        <v>12</v>
      </c>
      <c r="T245">
        <v>12</v>
      </c>
      <c r="U245" t="s">
        <v>112</v>
      </c>
      <c r="V245" t="s">
        <v>37</v>
      </c>
      <c r="W245">
        <v>450</v>
      </c>
      <c r="X245">
        <v>60</v>
      </c>
      <c r="Y245" t="s">
        <v>38</v>
      </c>
      <c r="Z245">
        <v>20</v>
      </c>
      <c r="AA245" t="s">
        <v>39</v>
      </c>
      <c r="AB245">
        <v>20</v>
      </c>
      <c r="AC245" t="s">
        <v>40</v>
      </c>
    </row>
    <row r="246" spans="1:29" x14ac:dyDescent="0.25">
      <c r="A246" t="str">
        <f t="shared" si="3"/>
        <v>EEM_EG_Pavlovagyrans_raw_002_005_C1.csv</v>
      </c>
      <c r="B246" t="s">
        <v>29</v>
      </c>
      <c r="C246" t="s">
        <v>30</v>
      </c>
      <c r="D246" t="s">
        <v>30</v>
      </c>
      <c r="E246" t="s">
        <v>31</v>
      </c>
      <c r="F246">
        <v>2</v>
      </c>
      <c r="G246">
        <v>5</v>
      </c>
      <c r="H246" t="s">
        <v>137</v>
      </c>
      <c r="I246" t="s">
        <v>33</v>
      </c>
      <c r="J246" t="s">
        <v>34</v>
      </c>
      <c r="K246" s="1">
        <v>0.1022</v>
      </c>
      <c r="L246" t="s">
        <v>30</v>
      </c>
      <c r="M246">
        <v>22</v>
      </c>
      <c r="N246" t="s">
        <v>35</v>
      </c>
      <c r="O246" t="s">
        <v>242</v>
      </c>
      <c r="P246">
        <v>336</v>
      </c>
      <c r="Q246">
        <v>100</v>
      </c>
      <c r="R246" t="s">
        <v>36</v>
      </c>
      <c r="S246">
        <v>12</v>
      </c>
      <c r="T246">
        <v>12</v>
      </c>
      <c r="U246" t="s">
        <v>112</v>
      </c>
      <c r="V246" t="s">
        <v>37</v>
      </c>
      <c r="W246">
        <v>450</v>
      </c>
      <c r="X246">
        <v>60</v>
      </c>
      <c r="Y246" t="s">
        <v>38</v>
      </c>
      <c r="Z246">
        <v>20</v>
      </c>
      <c r="AA246" t="s">
        <v>39</v>
      </c>
      <c r="AB246">
        <v>20</v>
      </c>
      <c r="AC246" t="s">
        <v>40</v>
      </c>
    </row>
    <row r="247" spans="1:29" x14ac:dyDescent="0.25">
      <c r="A247" t="str">
        <f t="shared" si="3"/>
        <v>EEM_EG_Pavlovagyrans_raw_002_005_C2.csv</v>
      </c>
      <c r="B247" t="s">
        <v>29</v>
      </c>
      <c r="C247" t="s">
        <v>30</v>
      </c>
      <c r="D247" t="s">
        <v>30</v>
      </c>
      <c r="E247" t="s">
        <v>31</v>
      </c>
      <c r="F247">
        <v>2</v>
      </c>
      <c r="G247">
        <v>5</v>
      </c>
      <c r="H247" t="s">
        <v>59</v>
      </c>
      <c r="I247" t="s">
        <v>33</v>
      </c>
      <c r="J247" t="s">
        <v>34</v>
      </c>
      <c r="K247" s="1">
        <v>0.1201</v>
      </c>
      <c r="L247" t="s">
        <v>30</v>
      </c>
      <c r="M247">
        <v>22</v>
      </c>
      <c r="N247" t="s">
        <v>80</v>
      </c>
      <c r="O247" t="s">
        <v>242</v>
      </c>
      <c r="P247">
        <v>336</v>
      </c>
      <c r="Q247">
        <v>100</v>
      </c>
      <c r="R247" t="s">
        <v>36</v>
      </c>
      <c r="S247">
        <v>12</v>
      </c>
      <c r="T247">
        <v>12</v>
      </c>
      <c r="U247" t="s">
        <v>112</v>
      </c>
      <c r="V247" t="s">
        <v>37</v>
      </c>
      <c r="W247">
        <v>450</v>
      </c>
      <c r="X247">
        <v>60</v>
      </c>
      <c r="Y247" t="s">
        <v>38</v>
      </c>
      <c r="Z247">
        <v>20</v>
      </c>
      <c r="AA247" t="s">
        <v>39</v>
      </c>
      <c r="AB247">
        <v>20</v>
      </c>
      <c r="AC247" t="s">
        <v>40</v>
      </c>
    </row>
    <row r="248" spans="1:29" x14ac:dyDescent="0.25">
      <c r="A248" t="str">
        <f t="shared" si="3"/>
        <v>EEM_EG_Pavlovagyrans_raw_002_005_C3.csv</v>
      </c>
      <c r="B248" t="s">
        <v>29</v>
      </c>
      <c r="C248" t="s">
        <v>30</v>
      </c>
      <c r="D248" t="s">
        <v>30</v>
      </c>
      <c r="E248" t="s">
        <v>31</v>
      </c>
      <c r="F248">
        <v>2</v>
      </c>
      <c r="G248">
        <v>5</v>
      </c>
      <c r="H248" t="s">
        <v>60</v>
      </c>
      <c r="I248" t="s">
        <v>33</v>
      </c>
      <c r="J248" t="s">
        <v>34</v>
      </c>
      <c r="K248" s="1">
        <v>0.128</v>
      </c>
      <c r="L248" t="s">
        <v>30</v>
      </c>
      <c r="M248">
        <v>22</v>
      </c>
      <c r="N248" t="s">
        <v>42</v>
      </c>
      <c r="O248" t="s">
        <v>242</v>
      </c>
      <c r="P248">
        <v>336</v>
      </c>
      <c r="Q248">
        <v>100</v>
      </c>
      <c r="R248" t="s">
        <v>36</v>
      </c>
      <c r="S248">
        <v>12</v>
      </c>
      <c r="T248">
        <v>12</v>
      </c>
      <c r="U248" t="s">
        <v>112</v>
      </c>
      <c r="V248" t="s">
        <v>37</v>
      </c>
      <c r="W248">
        <v>450</v>
      </c>
      <c r="X248">
        <v>60</v>
      </c>
      <c r="Y248" t="s">
        <v>38</v>
      </c>
      <c r="Z248">
        <v>20</v>
      </c>
      <c r="AA248" t="s">
        <v>39</v>
      </c>
      <c r="AB248">
        <v>20</v>
      </c>
      <c r="AC248" t="s">
        <v>40</v>
      </c>
    </row>
    <row r="249" spans="1:29" x14ac:dyDescent="0.25">
      <c r="A249" t="str">
        <f t="shared" si="3"/>
        <v>EEM_EG_Pavlovagyrans_raw_002_005_C4.csv</v>
      </c>
      <c r="B249" t="s">
        <v>29</v>
      </c>
      <c r="C249" t="s">
        <v>30</v>
      </c>
      <c r="D249" t="s">
        <v>30</v>
      </c>
      <c r="E249" t="s">
        <v>31</v>
      </c>
      <c r="F249">
        <v>2</v>
      </c>
      <c r="G249">
        <v>5</v>
      </c>
      <c r="H249" t="s">
        <v>61</v>
      </c>
      <c r="I249" t="s">
        <v>33</v>
      </c>
      <c r="J249" t="s">
        <v>34</v>
      </c>
      <c r="K249" s="1">
        <v>0.16270000000000001</v>
      </c>
      <c r="L249" t="s">
        <v>30</v>
      </c>
      <c r="M249">
        <v>22</v>
      </c>
      <c r="N249" t="s">
        <v>82</v>
      </c>
      <c r="O249" t="s">
        <v>242</v>
      </c>
      <c r="P249">
        <v>336</v>
      </c>
      <c r="Q249">
        <v>100</v>
      </c>
      <c r="R249" t="s">
        <v>36</v>
      </c>
      <c r="S249">
        <v>12</v>
      </c>
      <c r="T249">
        <v>12</v>
      </c>
      <c r="U249" t="s">
        <v>112</v>
      </c>
      <c r="V249" t="s">
        <v>37</v>
      </c>
      <c r="W249">
        <v>450</v>
      </c>
      <c r="X249">
        <v>60</v>
      </c>
      <c r="Y249" t="s">
        <v>38</v>
      </c>
      <c r="Z249">
        <v>20</v>
      </c>
      <c r="AA249" t="s">
        <v>39</v>
      </c>
      <c r="AB249">
        <v>20</v>
      </c>
      <c r="AC249" t="s">
        <v>40</v>
      </c>
    </row>
    <row r="250" spans="1:29" x14ac:dyDescent="0.25">
      <c r="A250" t="str">
        <f t="shared" si="3"/>
        <v>EEM_EG_Pavlovagyrans_raw_002_005_C5.csv</v>
      </c>
      <c r="B250" t="s">
        <v>29</v>
      </c>
      <c r="C250" t="s">
        <v>30</v>
      </c>
      <c r="D250" t="s">
        <v>30</v>
      </c>
      <c r="E250" t="s">
        <v>31</v>
      </c>
      <c r="F250">
        <v>2</v>
      </c>
      <c r="G250">
        <v>5</v>
      </c>
      <c r="H250" t="s">
        <v>62</v>
      </c>
      <c r="I250" t="s">
        <v>33</v>
      </c>
      <c r="J250" t="s">
        <v>34</v>
      </c>
      <c r="K250" s="1">
        <v>0.15740000000000001</v>
      </c>
      <c r="L250" t="s">
        <v>30</v>
      </c>
      <c r="M250">
        <v>22</v>
      </c>
      <c r="N250" t="s">
        <v>44</v>
      </c>
      <c r="O250" t="s">
        <v>242</v>
      </c>
      <c r="P250">
        <v>336</v>
      </c>
      <c r="Q250">
        <v>100</v>
      </c>
      <c r="R250" t="s">
        <v>36</v>
      </c>
      <c r="S250">
        <v>12</v>
      </c>
      <c r="T250">
        <v>12</v>
      </c>
      <c r="U250" t="s">
        <v>112</v>
      </c>
      <c r="V250" t="s">
        <v>37</v>
      </c>
      <c r="W250">
        <v>450</v>
      </c>
      <c r="X250">
        <v>60</v>
      </c>
      <c r="Y250" t="s">
        <v>38</v>
      </c>
      <c r="Z250">
        <v>20</v>
      </c>
      <c r="AA250" t="s">
        <v>39</v>
      </c>
      <c r="AB250">
        <v>20</v>
      </c>
      <c r="AC250" t="s">
        <v>40</v>
      </c>
    </row>
    <row r="251" spans="1:29" x14ac:dyDescent="0.25">
      <c r="A251" t="str">
        <f t="shared" si="3"/>
        <v>EEM_EG_Pavlovagyrans_raw_002_005_C6.csv</v>
      </c>
      <c r="B251" t="s">
        <v>29</v>
      </c>
      <c r="C251" t="s">
        <v>30</v>
      </c>
      <c r="D251" t="s">
        <v>30</v>
      </c>
      <c r="E251" t="s">
        <v>31</v>
      </c>
      <c r="F251">
        <v>2</v>
      </c>
      <c r="G251">
        <v>5</v>
      </c>
      <c r="H251" t="s">
        <v>63</v>
      </c>
      <c r="I251" t="s">
        <v>33</v>
      </c>
      <c r="J251" t="s">
        <v>34</v>
      </c>
      <c r="K251" s="1">
        <v>0.17449999999999999</v>
      </c>
      <c r="L251" t="s">
        <v>30</v>
      </c>
      <c r="M251">
        <v>22</v>
      </c>
      <c r="N251" t="s">
        <v>84</v>
      </c>
      <c r="O251" t="s">
        <v>242</v>
      </c>
      <c r="P251">
        <v>336</v>
      </c>
      <c r="Q251">
        <v>100</v>
      </c>
      <c r="R251" t="s">
        <v>36</v>
      </c>
      <c r="S251">
        <v>12</v>
      </c>
      <c r="T251">
        <v>12</v>
      </c>
      <c r="U251" t="s">
        <v>112</v>
      </c>
      <c r="V251" t="s">
        <v>37</v>
      </c>
      <c r="W251">
        <v>450</v>
      </c>
      <c r="X251">
        <v>60</v>
      </c>
      <c r="Y251" t="s">
        <v>38</v>
      </c>
      <c r="Z251">
        <v>20</v>
      </c>
      <c r="AA251" t="s">
        <v>39</v>
      </c>
      <c r="AB251">
        <v>20</v>
      </c>
      <c r="AC251" t="s">
        <v>40</v>
      </c>
    </row>
    <row r="252" spans="1:29" x14ac:dyDescent="0.25">
      <c r="A252" t="str">
        <f t="shared" si="3"/>
        <v>EEM_EG_Pavlovagyrans_raw_002_005_C7.csv</v>
      </c>
      <c r="B252" t="s">
        <v>29</v>
      </c>
      <c r="C252" t="s">
        <v>30</v>
      </c>
      <c r="D252" t="s">
        <v>30</v>
      </c>
      <c r="E252" t="s">
        <v>31</v>
      </c>
      <c r="F252">
        <v>2</v>
      </c>
      <c r="G252">
        <v>5</v>
      </c>
      <c r="H252" t="s">
        <v>64</v>
      </c>
      <c r="I252" t="s">
        <v>33</v>
      </c>
      <c r="J252" t="s">
        <v>34</v>
      </c>
      <c r="K252" s="1">
        <v>0.1502</v>
      </c>
      <c r="L252" t="s">
        <v>30</v>
      </c>
      <c r="M252">
        <v>22</v>
      </c>
      <c r="N252" t="s">
        <v>46</v>
      </c>
      <c r="O252" t="s">
        <v>242</v>
      </c>
      <c r="P252">
        <v>336</v>
      </c>
      <c r="Q252">
        <v>100</v>
      </c>
      <c r="R252" t="s">
        <v>36</v>
      </c>
      <c r="S252">
        <v>12</v>
      </c>
      <c r="T252">
        <v>12</v>
      </c>
      <c r="U252" t="s">
        <v>112</v>
      </c>
      <c r="V252" t="s">
        <v>37</v>
      </c>
      <c r="W252">
        <v>450</v>
      </c>
      <c r="X252">
        <v>60</v>
      </c>
      <c r="Y252" t="s">
        <v>38</v>
      </c>
      <c r="Z252">
        <v>20</v>
      </c>
      <c r="AA252" t="s">
        <v>39</v>
      </c>
      <c r="AB252">
        <v>20</v>
      </c>
      <c r="AC252" t="s">
        <v>40</v>
      </c>
    </row>
    <row r="253" spans="1:29" x14ac:dyDescent="0.25">
      <c r="A253" t="str">
        <f t="shared" si="3"/>
        <v>EEM_EG_Pavlovagyrans_raw_002_005_C8.csv</v>
      </c>
      <c r="B253" t="s">
        <v>29</v>
      </c>
      <c r="C253" t="s">
        <v>30</v>
      </c>
      <c r="D253" t="s">
        <v>30</v>
      </c>
      <c r="E253" t="s">
        <v>31</v>
      </c>
      <c r="F253">
        <v>2</v>
      </c>
      <c r="G253">
        <v>5</v>
      </c>
      <c r="H253" t="s">
        <v>65</v>
      </c>
      <c r="I253" t="s">
        <v>33</v>
      </c>
      <c r="J253" t="s">
        <v>34</v>
      </c>
      <c r="K253" s="1">
        <v>0.1489</v>
      </c>
      <c r="L253" t="s">
        <v>30</v>
      </c>
      <c r="M253">
        <v>22</v>
      </c>
      <c r="N253" t="s">
        <v>86</v>
      </c>
      <c r="O253" t="s">
        <v>242</v>
      </c>
      <c r="P253">
        <v>336</v>
      </c>
      <c r="Q253">
        <v>100</v>
      </c>
      <c r="R253" t="s">
        <v>36</v>
      </c>
      <c r="S253">
        <v>12</v>
      </c>
      <c r="T253">
        <v>12</v>
      </c>
      <c r="U253" t="s">
        <v>112</v>
      </c>
      <c r="V253" t="s">
        <v>37</v>
      </c>
      <c r="W253">
        <v>450</v>
      </c>
      <c r="X253">
        <v>60</v>
      </c>
      <c r="Y253" t="s">
        <v>38</v>
      </c>
      <c r="Z253">
        <v>20</v>
      </c>
      <c r="AA253" t="s">
        <v>39</v>
      </c>
      <c r="AB253">
        <v>20</v>
      </c>
      <c r="AC253" t="s">
        <v>40</v>
      </c>
    </row>
    <row r="254" spans="1:29" x14ac:dyDescent="0.25">
      <c r="A254" t="str">
        <f t="shared" si="3"/>
        <v>EEM_EG_Pavlovagyrans_raw_002_005_D1.csv</v>
      </c>
      <c r="B254" t="s">
        <v>29</v>
      </c>
      <c r="C254" t="s">
        <v>30</v>
      </c>
      <c r="D254" t="s">
        <v>30</v>
      </c>
      <c r="E254" t="s">
        <v>31</v>
      </c>
      <c r="F254">
        <v>2</v>
      </c>
      <c r="G254">
        <v>5</v>
      </c>
      <c r="H254" t="s">
        <v>146</v>
      </c>
      <c r="I254" t="s">
        <v>33</v>
      </c>
      <c r="J254" t="s">
        <v>34</v>
      </c>
      <c r="K254" s="1">
        <v>8.5400000000000004E-2</v>
      </c>
      <c r="L254" t="s">
        <v>30</v>
      </c>
      <c r="M254">
        <v>22</v>
      </c>
      <c r="N254" t="s">
        <v>35</v>
      </c>
      <c r="O254" t="s">
        <v>242</v>
      </c>
      <c r="P254">
        <v>336</v>
      </c>
      <c r="Q254">
        <v>100</v>
      </c>
      <c r="R254" t="s">
        <v>36</v>
      </c>
      <c r="S254">
        <v>12</v>
      </c>
      <c r="T254">
        <v>12</v>
      </c>
      <c r="U254" t="s">
        <v>112</v>
      </c>
      <c r="V254" t="s">
        <v>37</v>
      </c>
      <c r="W254">
        <v>450</v>
      </c>
      <c r="X254">
        <v>60</v>
      </c>
      <c r="Y254" t="s">
        <v>38</v>
      </c>
      <c r="Z254">
        <v>20</v>
      </c>
      <c r="AA254" t="s">
        <v>39</v>
      </c>
      <c r="AB254">
        <v>20</v>
      </c>
      <c r="AC254" t="s">
        <v>40</v>
      </c>
    </row>
    <row r="255" spans="1:29" x14ac:dyDescent="0.25">
      <c r="A255" t="str">
        <f t="shared" si="3"/>
        <v>EEM_EG_Pavlovagyrans_raw_002_005_D2.csv</v>
      </c>
      <c r="B255" t="s">
        <v>29</v>
      </c>
      <c r="C255" t="s">
        <v>30</v>
      </c>
      <c r="D255" t="s">
        <v>30</v>
      </c>
      <c r="E255" t="s">
        <v>31</v>
      </c>
      <c r="F255">
        <v>2</v>
      </c>
      <c r="G255">
        <v>5</v>
      </c>
      <c r="H255" t="s">
        <v>69</v>
      </c>
      <c r="I255" t="s">
        <v>33</v>
      </c>
      <c r="J255" t="s">
        <v>34</v>
      </c>
      <c r="K255" s="1">
        <v>0.12920000000000001</v>
      </c>
      <c r="L255" t="s">
        <v>30</v>
      </c>
      <c r="M255">
        <v>22</v>
      </c>
      <c r="N255" t="s">
        <v>80</v>
      </c>
      <c r="O255" t="s">
        <v>242</v>
      </c>
      <c r="P255">
        <v>336</v>
      </c>
      <c r="Q255">
        <v>100</v>
      </c>
      <c r="R255" t="s">
        <v>36</v>
      </c>
      <c r="S255">
        <v>12</v>
      </c>
      <c r="T255">
        <v>12</v>
      </c>
      <c r="U255" t="s">
        <v>112</v>
      </c>
      <c r="V255" t="s">
        <v>37</v>
      </c>
      <c r="W255">
        <v>450</v>
      </c>
      <c r="X255">
        <v>60</v>
      </c>
      <c r="Y255" t="s">
        <v>38</v>
      </c>
      <c r="Z255">
        <v>20</v>
      </c>
      <c r="AA255" t="s">
        <v>39</v>
      </c>
      <c r="AB255">
        <v>20</v>
      </c>
      <c r="AC255" t="s">
        <v>40</v>
      </c>
    </row>
    <row r="256" spans="1:29" x14ac:dyDescent="0.25">
      <c r="A256" t="str">
        <f t="shared" si="3"/>
        <v>EEM_EG_Pavlovagyrans_raw_002_005_D3.csv</v>
      </c>
      <c r="B256" t="s">
        <v>29</v>
      </c>
      <c r="C256" t="s">
        <v>30</v>
      </c>
      <c r="D256" t="s">
        <v>30</v>
      </c>
      <c r="E256" t="s">
        <v>31</v>
      </c>
      <c r="F256">
        <v>2</v>
      </c>
      <c r="G256">
        <v>5</v>
      </c>
      <c r="H256" t="s">
        <v>70</v>
      </c>
      <c r="I256" t="s">
        <v>33</v>
      </c>
      <c r="J256" t="s">
        <v>34</v>
      </c>
      <c r="K256" s="1">
        <v>0.13100000000000001</v>
      </c>
      <c r="L256" t="s">
        <v>30</v>
      </c>
      <c r="M256">
        <v>22</v>
      </c>
      <c r="N256" t="s">
        <v>42</v>
      </c>
      <c r="O256" t="s">
        <v>242</v>
      </c>
      <c r="P256">
        <v>336</v>
      </c>
      <c r="Q256">
        <v>100</v>
      </c>
      <c r="R256" t="s">
        <v>36</v>
      </c>
      <c r="S256">
        <v>12</v>
      </c>
      <c r="T256">
        <v>12</v>
      </c>
      <c r="U256" t="s">
        <v>112</v>
      </c>
      <c r="V256" t="s">
        <v>37</v>
      </c>
      <c r="W256">
        <v>450</v>
      </c>
      <c r="X256">
        <v>60</v>
      </c>
      <c r="Y256" t="s">
        <v>38</v>
      </c>
      <c r="Z256">
        <v>20</v>
      </c>
      <c r="AA256" t="s">
        <v>39</v>
      </c>
      <c r="AB256">
        <v>20</v>
      </c>
      <c r="AC256" t="s">
        <v>40</v>
      </c>
    </row>
    <row r="257" spans="1:29" x14ac:dyDescent="0.25">
      <c r="A257" t="str">
        <f t="shared" si="3"/>
        <v>EEM_EG_Pavlovagyrans_raw_002_005_D4.csv</v>
      </c>
      <c r="B257" t="s">
        <v>29</v>
      </c>
      <c r="C257" t="s">
        <v>30</v>
      </c>
      <c r="D257" t="s">
        <v>30</v>
      </c>
      <c r="E257" t="s">
        <v>31</v>
      </c>
      <c r="F257">
        <v>2</v>
      </c>
      <c r="G257">
        <v>5</v>
      </c>
      <c r="H257" t="s">
        <v>71</v>
      </c>
      <c r="I257" t="s">
        <v>33</v>
      </c>
      <c r="J257" t="s">
        <v>34</v>
      </c>
      <c r="K257" s="1">
        <v>0.16969999999999999</v>
      </c>
      <c r="L257" t="s">
        <v>30</v>
      </c>
      <c r="M257">
        <v>22</v>
      </c>
      <c r="N257" t="s">
        <v>82</v>
      </c>
      <c r="O257" t="s">
        <v>242</v>
      </c>
      <c r="P257">
        <v>336</v>
      </c>
      <c r="Q257">
        <v>100</v>
      </c>
      <c r="R257" t="s">
        <v>36</v>
      </c>
      <c r="S257">
        <v>12</v>
      </c>
      <c r="T257">
        <v>12</v>
      </c>
      <c r="U257" t="s">
        <v>112</v>
      </c>
      <c r="V257" t="s">
        <v>37</v>
      </c>
      <c r="W257">
        <v>450</v>
      </c>
      <c r="X257">
        <v>60</v>
      </c>
      <c r="Y257" t="s">
        <v>38</v>
      </c>
      <c r="Z257">
        <v>20</v>
      </c>
      <c r="AA257" t="s">
        <v>39</v>
      </c>
      <c r="AB257">
        <v>20</v>
      </c>
      <c r="AC257" t="s">
        <v>40</v>
      </c>
    </row>
    <row r="258" spans="1:29" x14ac:dyDescent="0.25">
      <c r="A258" t="str">
        <f t="shared" si="3"/>
        <v>EEM_EG_Pavlovagyrans_raw_002_005_D5.csv</v>
      </c>
      <c r="B258" t="s">
        <v>29</v>
      </c>
      <c r="C258" t="s">
        <v>30</v>
      </c>
      <c r="D258" t="s">
        <v>30</v>
      </c>
      <c r="E258" t="s">
        <v>31</v>
      </c>
      <c r="F258">
        <v>2</v>
      </c>
      <c r="G258">
        <v>5</v>
      </c>
      <c r="H258" t="s">
        <v>72</v>
      </c>
      <c r="I258" t="s">
        <v>33</v>
      </c>
      <c r="J258" t="s">
        <v>34</v>
      </c>
      <c r="K258" s="1">
        <v>0.1598</v>
      </c>
      <c r="L258" t="s">
        <v>30</v>
      </c>
      <c r="M258">
        <v>22</v>
      </c>
      <c r="N258" t="s">
        <v>44</v>
      </c>
      <c r="O258" t="s">
        <v>242</v>
      </c>
      <c r="P258">
        <v>336</v>
      </c>
      <c r="Q258">
        <v>100</v>
      </c>
      <c r="R258" t="s">
        <v>36</v>
      </c>
      <c r="S258">
        <v>12</v>
      </c>
      <c r="T258">
        <v>12</v>
      </c>
      <c r="U258" t="s">
        <v>112</v>
      </c>
      <c r="V258" t="s">
        <v>37</v>
      </c>
      <c r="W258">
        <v>450</v>
      </c>
      <c r="X258">
        <v>60</v>
      </c>
      <c r="Y258" t="s">
        <v>38</v>
      </c>
      <c r="Z258">
        <v>20</v>
      </c>
      <c r="AA258" t="s">
        <v>39</v>
      </c>
      <c r="AB258">
        <v>20</v>
      </c>
      <c r="AC258" t="s">
        <v>40</v>
      </c>
    </row>
    <row r="259" spans="1:29" x14ac:dyDescent="0.25">
      <c r="A259" t="str">
        <f t="shared" si="3"/>
        <v>EEM_EG_Pavlovagyrans_raw_002_005_D6.csv</v>
      </c>
      <c r="B259" t="s">
        <v>29</v>
      </c>
      <c r="C259" t="s">
        <v>30</v>
      </c>
      <c r="D259" t="s">
        <v>30</v>
      </c>
      <c r="E259" t="s">
        <v>31</v>
      </c>
      <c r="F259">
        <v>2</v>
      </c>
      <c r="G259">
        <v>5</v>
      </c>
      <c r="H259" t="s">
        <v>73</v>
      </c>
      <c r="I259" t="s">
        <v>33</v>
      </c>
      <c r="J259" t="s">
        <v>34</v>
      </c>
      <c r="K259" s="1">
        <v>0.17030000000000001</v>
      </c>
      <c r="L259" t="s">
        <v>30</v>
      </c>
      <c r="M259">
        <v>22</v>
      </c>
      <c r="N259" t="s">
        <v>84</v>
      </c>
      <c r="O259" t="s">
        <v>242</v>
      </c>
      <c r="P259">
        <v>336</v>
      </c>
      <c r="Q259">
        <v>100</v>
      </c>
      <c r="R259" t="s">
        <v>36</v>
      </c>
      <c r="S259">
        <v>12</v>
      </c>
      <c r="T259">
        <v>12</v>
      </c>
      <c r="U259" t="s">
        <v>112</v>
      </c>
      <c r="V259" t="s">
        <v>37</v>
      </c>
      <c r="W259">
        <v>450</v>
      </c>
      <c r="X259">
        <v>60</v>
      </c>
      <c r="Y259" t="s">
        <v>38</v>
      </c>
      <c r="Z259">
        <v>20</v>
      </c>
      <c r="AA259" t="s">
        <v>39</v>
      </c>
      <c r="AB259">
        <v>20</v>
      </c>
      <c r="AC259" t="s">
        <v>40</v>
      </c>
    </row>
    <row r="260" spans="1:29" x14ac:dyDescent="0.25">
      <c r="A260" t="str">
        <f t="shared" si="3"/>
        <v>EEM_EG_Pavlovagyrans_raw_002_005_D7.csv</v>
      </c>
      <c r="B260" t="s">
        <v>29</v>
      </c>
      <c r="C260" t="s">
        <v>30</v>
      </c>
      <c r="D260" t="s">
        <v>30</v>
      </c>
      <c r="E260" t="s">
        <v>31</v>
      </c>
      <c r="F260">
        <v>2</v>
      </c>
      <c r="G260">
        <v>5</v>
      </c>
      <c r="H260" t="s">
        <v>74</v>
      </c>
      <c r="I260" t="s">
        <v>33</v>
      </c>
      <c r="J260" t="s">
        <v>34</v>
      </c>
      <c r="K260" s="1">
        <v>0.15629999999999999</v>
      </c>
      <c r="L260" t="s">
        <v>30</v>
      </c>
      <c r="M260">
        <v>22</v>
      </c>
      <c r="N260" t="s">
        <v>46</v>
      </c>
      <c r="O260" t="s">
        <v>242</v>
      </c>
      <c r="P260">
        <v>336</v>
      </c>
      <c r="Q260">
        <v>100</v>
      </c>
      <c r="R260" t="s">
        <v>36</v>
      </c>
      <c r="S260">
        <v>12</v>
      </c>
      <c r="T260">
        <v>12</v>
      </c>
      <c r="U260" t="s">
        <v>112</v>
      </c>
      <c r="V260" t="s">
        <v>37</v>
      </c>
      <c r="W260">
        <v>450</v>
      </c>
      <c r="X260">
        <v>60</v>
      </c>
      <c r="Y260" t="s">
        <v>38</v>
      </c>
      <c r="Z260">
        <v>20</v>
      </c>
      <c r="AA260" t="s">
        <v>39</v>
      </c>
      <c r="AB260">
        <v>20</v>
      </c>
      <c r="AC260" t="s">
        <v>40</v>
      </c>
    </row>
    <row r="261" spans="1:29" x14ac:dyDescent="0.25">
      <c r="A261" t="str">
        <f t="shared" si="3"/>
        <v>EEM_EG_Pavlovagyrans_raw_002_005_D8.csv</v>
      </c>
      <c r="B261" t="s">
        <v>29</v>
      </c>
      <c r="C261" t="s">
        <v>30</v>
      </c>
      <c r="D261" t="s">
        <v>30</v>
      </c>
      <c r="E261" t="s">
        <v>31</v>
      </c>
      <c r="F261">
        <v>2</v>
      </c>
      <c r="G261">
        <v>5</v>
      </c>
      <c r="H261" t="s">
        <v>75</v>
      </c>
      <c r="I261" t="s">
        <v>33</v>
      </c>
      <c r="J261" t="s">
        <v>34</v>
      </c>
      <c r="K261" s="1">
        <v>0.157</v>
      </c>
      <c r="L261" t="s">
        <v>30</v>
      </c>
      <c r="M261">
        <v>22</v>
      </c>
      <c r="N261" t="s">
        <v>86</v>
      </c>
      <c r="O261" t="s">
        <v>242</v>
      </c>
      <c r="P261">
        <v>336</v>
      </c>
      <c r="Q261">
        <v>100</v>
      </c>
      <c r="R261" t="s">
        <v>36</v>
      </c>
      <c r="S261">
        <v>12</v>
      </c>
      <c r="T261">
        <v>12</v>
      </c>
      <c r="U261" t="s">
        <v>112</v>
      </c>
      <c r="V261" t="s">
        <v>37</v>
      </c>
      <c r="W261">
        <v>450</v>
      </c>
      <c r="X261">
        <v>60</v>
      </c>
      <c r="Y261" t="s">
        <v>38</v>
      </c>
      <c r="Z261">
        <v>20</v>
      </c>
      <c r="AA261" t="s">
        <v>39</v>
      </c>
      <c r="AB261">
        <v>20</v>
      </c>
      <c r="AC261" t="s">
        <v>40</v>
      </c>
    </row>
    <row r="262" spans="1:29" x14ac:dyDescent="0.25">
      <c r="A262" t="str">
        <f t="shared" si="3"/>
        <v>EEM_EG_Pavlovagyrans_raw_002_005_E1.csv</v>
      </c>
      <c r="B262" t="s">
        <v>29</v>
      </c>
      <c r="C262" t="s">
        <v>30</v>
      </c>
      <c r="D262" t="s">
        <v>30</v>
      </c>
      <c r="E262" t="s">
        <v>31</v>
      </c>
      <c r="F262">
        <v>2</v>
      </c>
      <c r="G262">
        <v>5</v>
      </c>
      <c r="H262" t="s">
        <v>155</v>
      </c>
      <c r="I262" t="s">
        <v>33</v>
      </c>
      <c r="J262" t="s">
        <v>34</v>
      </c>
      <c r="K262" s="1">
        <v>0.13500000000000001</v>
      </c>
      <c r="L262" t="s">
        <v>30</v>
      </c>
      <c r="M262">
        <v>22</v>
      </c>
      <c r="N262" t="s">
        <v>35</v>
      </c>
      <c r="O262" t="s">
        <v>242</v>
      </c>
      <c r="P262">
        <v>336</v>
      </c>
      <c r="Q262">
        <v>100</v>
      </c>
      <c r="R262" t="s">
        <v>36</v>
      </c>
      <c r="S262">
        <v>12</v>
      </c>
      <c r="T262">
        <v>12</v>
      </c>
      <c r="U262" t="s">
        <v>112</v>
      </c>
      <c r="V262" t="s">
        <v>37</v>
      </c>
      <c r="W262">
        <v>450</v>
      </c>
      <c r="X262">
        <v>60</v>
      </c>
      <c r="Y262" t="s">
        <v>38</v>
      </c>
      <c r="Z262">
        <v>20</v>
      </c>
      <c r="AA262" t="s">
        <v>39</v>
      </c>
      <c r="AB262">
        <v>20</v>
      </c>
      <c r="AC262" t="s">
        <v>40</v>
      </c>
    </row>
    <row r="263" spans="1:29" x14ac:dyDescent="0.25">
      <c r="A263" t="str">
        <f t="shared" si="3"/>
        <v>EEM_EG_Pavlovagyrans_raw_002_005_E2.csv</v>
      </c>
      <c r="B263" t="s">
        <v>29</v>
      </c>
      <c r="C263" t="s">
        <v>30</v>
      </c>
      <c r="D263" t="s">
        <v>30</v>
      </c>
      <c r="E263" t="s">
        <v>31</v>
      </c>
      <c r="F263">
        <v>2</v>
      </c>
      <c r="G263">
        <v>5</v>
      </c>
      <c r="H263" t="s">
        <v>79</v>
      </c>
      <c r="I263" t="s">
        <v>33</v>
      </c>
      <c r="J263" t="s">
        <v>34</v>
      </c>
      <c r="K263" s="1">
        <v>0.1356</v>
      </c>
      <c r="L263" t="s">
        <v>30</v>
      </c>
      <c r="M263">
        <v>22</v>
      </c>
      <c r="N263" t="s">
        <v>80</v>
      </c>
      <c r="O263" t="s">
        <v>242</v>
      </c>
      <c r="P263">
        <v>336</v>
      </c>
      <c r="Q263">
        <v>100</v>
      </c>
      <c r="R263" t="s">
        <v>36</v>
      </c>
      <c r="S263">
        <v>12</v>
      </c>
      <c r="T263">
        <v>12</v>
      </c>
      <c r="U263" t="s">
        <v>112</v>
      </c>
      <c r="V263" t="s">
        <v>37</v>
      </c>
      <c r="W263">
        <v>450</v>
      </c>
      <c r="X263">
        <v>60</v>
      </c>
      <c r="Y263" t="s">
        <v>38</v>
      </c>
      <c r="Z263">
        <v>20</v>
      </c>
      <c r="AA263" t="s">
        <v>39</v>
      </c>
      <c r="AB263">
        <v>20</v>
      </c>
      <c r="AC263" t="s">
        <v>40</v>
      </c>
    </row>
    <row r="264" spans="1:29" x14ac:dyDescent="0.25">
      <c r="A264" t="str">
        <f t="shared" si="3"/>
        <v>EEM_EG_Pavlovagyrans_raw_002_005_E3.csv</v>
      </c>
      <c r="B264" t="s">
        <v>29</v>
      </c>
      <c r="C264" t="s">
        <v>30</v>
      </c>
      <c r="D264" t="s">
        <v>30</v>
      </c>
      <c r="E264" t="s">
        <v>31</v>
      </c>
      <c r="F264">
        <v>2</v>
      </c>
      <c r="G264">
        <v>5</v>
      </c>
      <c r="H264" t="s">
        <v>81</v>
      </c>
      <c r="I264" t="s">
        <v>33</v>
      </c>
      <c r="J264" t="s">
        <v>34</v>
      </c>
      <c r="K264" s="1">
        <v>0.1399</v>
      </c>
      <c r="L264" t="s">
        <v>30</v>
      </c>
      <c r="M264">
        <v>22</v>
      </c>
      <c r="N264" t="s">
        <v>42</v>
      </c>
      <c r="O264" t="s">
        <v>242</v>
      </c>
      <c r="P264">
        <v>336</v>
      </c>
      <c r="Q264">
        <v>100</v>
      </c>
      <c r="R264" t="s">
        <v>36</v>
      </c>
      <c r="S264">
        <v>12</v>
      </c>
      <c r="T264">
        <v>12</v>
      </c>
      <c r="U264" t="s">
        <v>112</v>
      </c>
      <c r="V264" t="s">
        <v>37</v>
      </c>
      <c r="W264">
        <v>450</v>
      </c>
      <c r="X264">
        <v>60</v>
      </c>
      <c r="Y264" t="s">
        <v>38</v>
      </c>
      <c r="Z264">
        <v>20</v>
      </c>
      <c r="AA264" t="s">
        <v>39</v>
      </c>
      <c r="AB264">
        <v>20</v>
      </c>
      <c r="AC264" t="s">
        <v>40</v>
      </c>
    </row>
    <row r="265" spans="1:29" x14ac:dyDescent="0.25">
      <c r="A265" t="str">
        <f t="shared" si="3"/>
        <v>EEM_EG_Pavlovagyrans_raw_002_005_E4.csv</v>
      </c>
      <c r="B265" t="s">
        <v>29</v>
      </c>
      <c r="C265" t="s">
        <v>30</v>
      </c>
      <c r="D265" t="s">
        <v>30</v>
      </c>
      <c r="E265" t="s">
        <v>31</v>
      </c>
      <c r="F265">
        <v>2</v>
      </c>
      <c r="G265">
        <v>5</v>
      </c>
      <c r="H265" t="s">
        <v>83</v>
      </c>
      <c r="I265" t="s">
        <v>33</v>
      </c>
      <c r="J265" t="s">
        <v>34</v>
      </c>
      <c r="K265" s="1">
        <v>0.1389</v>
      </c>
      <c r="L265" t="s">
        <v>30</v>
      </c>
      <c r="M265">
        <v>22</v>
      </c>
      <c r="N265" t="s">
        <v>82</v>
      </c>
      <c r="O265" t="s">
        <v>242</v>
      </c>
      <c r="P265">
        <v>336</v>
      </c>
      <c r="Q265">
        <v>100</v>
      </c>
      <c r="R265" t="s">
        <v>36</v>
      </c>
      <c r="S265">
        <v>12</v>
      </c>
      <c r="T265">
        <v>12</v>
      </c>
      <c r="U265" t="s">
        <v>112</v>
      </c>
      <c r="V265" t="s">
        <v>37</v>
      </c>
      <c r="W265">
        <v>450</v>
      </c>
      <c r="X265">
        <v>60</v>
      </c>
      <c r="Y265" t="s">
        <v>38</v>
      </c>
      <c r="Z265">
        <v>20</v>
      </c>
      <c r="AA265" t="s">
        <v>39</v>
      </c>
      <c r="AB265">
        <v>20</v>
      </c>
      <c r="AC265" t="s">
        <v>40</v>
      </c>
    </row>
    <row r="266" spans="1:29" x14ac:dyDescent="0.25">
      <c r="A266" t="str">
        <f t="shared" si="3"/>
        <v>EEM_EG_Pavlovagyrans_raw_002_005_E5.csv</v>
      </c>
      <c r="B266" t="s">
        <v>29</v>
      </c>
      <c r="C266" t="s">
        <v>30</v>
      </c>
      <c r="D266" t="s">
        <v>30</v>
      </c>
      <c r="E266" t="s">
        <v>31</v>
      </c>
      <c r="F266">
        <v>2</v>
      </c>
      <c r="G266">
        <v>5</v>
      </c>
      <c r="H266" t="s">
        <v>85</v>
      </c>
      <c r="I266" t="s">
        <v>33</v>
      </c>
      <c r="J266" t="s">
        <v>34</v>
      </c>
      <c r="K266" s="1">
        <v>0.14019999999999999</v>
      </c>
      <c r="L266" t="s">
        <v>30</v>
      </c>
      <c r="M266">
        <v>22</v>
      </c>
      <c r="N266" t="s">
        <v>44</v>
      </c>
      <c r="O266" t="s">
        <v>242</v>
      </c>
      <c r="P266">
        <v>336</v>
      </c>
      <c r="Q266">
        <v>100</v>
      </c>
      <c r="R266" t="s">
        <v>36</v>
      </c>
      <c r="S266">
        <v>12</v>
      </c>
      <c r="T266">
        <v>12</v>
      </c>
      <c r="U266" t="s">
        <v>112</v>
      </c>
      <c r="V266" t="s">
        <v>37</v>
      </c>
      <c r="W266">
        <v>450</v>
      </c>
      <c r="X266">
        <v>60</v>
      </c>
      <c r="Y266" t="s">
        <v>38</v>
      </c>
      <c r="Z266">
        <v>20</v>
      </c>
      <c r="AA266" t="s">
        <v>39</v>
      </c>
      <c r="AB266">
        <v>20</v>
      </c>
      <c r="AC266" t="s">
        <v>40</v>
      </c>
    </row>
    <row r="267" spans="1:29" x14ac:dyDescent="0.25">
      <c r="A267" t="str">
        <f t="shared" si="3"/>
        <v>EEM_EG_Pavlovagyrans_raw_002_005_E6.csv</v>
      </c>
      <c r="B267" t="s">
        <v>29</v>
      </c>
      <c r="C267" t="s">
        <v>30</v>
      </c>
      <c r="D267" t="s">
        <v>30</v>
      </c>
      <c r="E267" t="s">
        <v>31</v>
      </c>
      <c r="F267">
        <v>2</v>
      </c>
      <c r="G267">
        <v>5</v>
      </c>
      <c r="H267" t="s">
        <v>87</v>
      </c>
      <c r="I267" t="s">
        <v>33</v>
      </c>
      <c r="J267" t="s">
        <v>34</v>
      </c>
      <c r="K267" s="1">
        <v>0.17760000000000001</v>
      </c>
      <c r="L267" t="s">
        <v>30</v>
      </c>
      <c r="M267">
        <v>22</v>
      </c>
      <c r="N267" t="s">
        <v>84</v>
      </c>
      <c r="O267" t="s">
        <v>242</v>
      </c>
      <c r="P267">
        <v>336</v>
      </c>
      <c r="Q267">
        <v>100</v>
      </c>
      <c r="R267" t="s">
        <v>36</v>
      </c>
      <c r="S267">
        <v>12</v>
      </c>
      <c r="T267">
        <v>12</v>
      </c>
      <c r="U267" t="s">
        <v>112</v>
      </c>
      <c r="V267" t="s">
        <v>37</v>
      </c>
      <c r="W267">
        <v>450</v>
      </c>
      <c r="X267">
        <v>60</v>
      </c>
      <c r="Y267" t="s">
        <v>38</v>
      </c>
      <c r="Z267">
        <v>20</v>
      </c>
      <c r="AA267" t="s">
        <v>39</v>
      </c>
      <c r="AB267">
        <v>20</v>
      </c>
      <c r="AC267" t="s">
        <v>40</v>
      </c>
    </row>
    <row r="268" spans="1:29" x14ac:dyDescent="0.25">
      <c r="A268" t="str">
        <f t="shared" si="3"/>
        <v>EEM_EG_Pavlovagyrans_raw_002_005_E7.csv</v>
      </c>
      <c r="B268" t="s">
        <v>29</v>
      </c>
      <c r="C268" t="s">
        <v>30</v>
      </c>
      <c r="D268" t="s">
        <v>30</v>
      </c>
      <c r="E268" t="s">
        <v>31</v>
      </c>
      <c r="F268">
        <v>2</v>
      </c>
      <c r="G268">
        <v>5</v>
      </c>
      <c r="H268" t="s">
        <v>89</v>
      </c>
      <c r="I268" t="s">
        <v>33</v>
      </c>
      <c r="J268" t="s">
        <v>34</v>
      </c>
      <c r="K268" s="1">
        <v>0.14899999999999999</v>
      </c>
      <c r="L268" t="s">
        <v>30</v>
      </c>
      <c r="M268">
        <v>22</v>
      </c>
      <c r="N268" t="s">
        <v>46</v>
      </c>
      <c r="O268" t="s">
        <v>242</v>
      </c>
      <c r="P268">
        <v>336</v>
      </c>
      <c r="Q268">
        <v>100</v>
      </c>
      <c r="R268" t="s">
        <v>36</v>
      </c>
      <c r="S268">
        <v>12</v>
      </c>
      <c r="T268">
        <v>12</v>
      </c>
      <c r="U268" t="s">
        <v>112</v>
      </c>
      <c r="V268" t="s">
        <v>37</v>
      </c>
      <c r="W268">
        <v>450</v>
      </c>
      <c r="X268">
        <v>60</v>
      </c>
      <c r="Y268" t="s">
        <v>38</v>
      </c>
      <c r="Z268">
        <v>20</v>
      </c>
      <c r="AA268" t="s">
        <v>39</v>
      </c>
      <c r="AB268">
        <v>20</v>
      </c>
      <c r="AC268" t="s">
        <v>40</v>
      </c>
    </row>
    <row r="269" spans="1:29" x14ac:dyDescent="0.25">
      <c r="A269" t="str">
        <f t="shared" si="3"/>
        <v>EEM_EG_Pavlovagyrans_raw_002_005_E8.csv</v>
      </c>
      <c r="B269" t="s">
        <v>29</v>
      </c>
      <c r="C269" t="s">
        <v>30</v>
      </c>
      <c r="D269" t="s">
        <v>30</v>
      </c>
      <c r="E269" t="s">
        <v>31</v>
      </c>
      <c r="F269">
        <v>2</v>
      </c>
      <c r="G269">
        <v>5</v>
      </c>
      <c r="H269" t="s">
        <v>91</v>
      </c>
      <c r="I269" t="s">
        <v>33</v>
      </c>
      <c r="J269" t="s">
        <v>34</v>
      </c>
      <c r="K269" s="1">
        <v>0.14430000000000001</v>
      </c>
      <c r="L269" t="s">
        <v>30</v>
      </c>
      <c r="M269">
        <v>22</v>
      </c>
      <c r="N269" t="s">
        <v>86</v>
      </c>
      <c r="O269" t="s">
        <v>242</v>
      </c>
      <c r="P269">
        <v>336</v>
      </c>
      <c r="Q269">
        <v>100</v>
      </c>
      <c r="R269" t="s">
        <v>36</v>
      </c>
      <c r="S269">
        <v>12</v>
      </c>
      <c r="T269">
        <v>12</v>
      </c>
      <c r="U269" t="s">
        <v>112</v>
      </c>
      <c r="V269" t="s">
        <v>37</v>
      </c>
      <c r="W269">
        <v>450</v>
      </c>
      <c r="X269">
        <v>60</v>
      </c>
      <c r="Y269" t="s">
        <v>38</v>
      </c>
      <c r="Z269">
        <v>20</v>
      </c>
      <c r="AA269" t="s">
        <v>39</v>
      </c>
      <c r="AB269">
        <v>20</v>
      </c>
      <c r="AC269" t="s">
        <v>40</v>
      </c>
    </row>
    <row r="270" spans="1:29" x14ac:dyDescent="0.25">
      <c r="A270" t="str">
        <f t="shared" si="3"/>
        <v>EEM_EG_Pavlovagyrans_raw_002_005_F1.csv</v>
      </c>
      <c r="B270" t="s">
        <v>29</v>
      </c>
      <c r="C270" t="s">
        <v>30</v>
      </c>
      <c r="D270" t="s">
        <v>30</v>
      </c>
      <c r="E270" t="s">
        <v>31</v>
      </c>
      <c r="F270">
        <v>2</v>
      </c>
      <c r="G270">
        <v>5</v>
      </c>
      <c r="H270" t="s">
        <v>164</v>
      </c>
      <c r="I270" t="s">
        <v>33</v>
      </c>
      <c r="J270" t="s">
        <v>34</v>
      </c>
      <c r="K270" s="1">
        <v>8.4900000000000003E-2</v>
      </c>
      <c r="L270" t="s">
        <v>30</v>
      </c>
      <c r="M270">
        <v>22</v>
      </c>
      <c r="N270" t="s">
        <v>35</v>
      </c>
      <c r="O270" t="s">
        <v>242</v>
      </c>
      <c r="P270">
        <v>336</v>
      </c>
      <c r="Q270">
        <v>100</v>
      </c>
      <c r="R270" t="s">
        <v>36</v>
      </c>
      <c r="S270">
        <v>12</v>
      </c>
      <c r="T270">
        <v>12</v>
      </c>
      <c r="U270" t="s">
        <v>112</v>
      </c>
      <c r="V270" t="s">
        <v>37</v>
      </c>
      <c r="W270">
        <v>450</v>
      </c>
      <c r="X270">
        <v>60</v>
      </c>
      <c r="Y270" t="s">
        <v>38</v>
      </c>
      <c r="Z270">
        <v>20</v>
      </c>
      <c r="AA270" t="s">
        <v>39</v>
      </c>
      <c r="AB270">
        <v>20</v>
      </c>
      <c r="AC270" t="s">
        <v>40</v>
      </c>
    </row>
    <row r="271" spans="1:29" x14ac:dyDescent="0.25">
      <c r="A271" t="str">
        <f t="shared" si="3"/>
        <v>EEM_EG_Pavlovagyrans_raw_002_005_F2.csv</v>
      </c>
      <c r="B271" t="s">
        <v>29</v>
      </c>
      <c r="C271" t="s">
        <v>30</v>
      </c>
      <c r="D271" t="s">
        <v>30</v>
      </c>
      <c r="E271" t="s">
        <v>31</v>
      </c>
      <c r="F271">
        <v>2</v>
      </c>
      <c r="G271">
        <v>5</v>
      </c>
      <c r="H271" t="s">
        <v>98</v>
      </c>
      <c r="I271" t="s">
        <v>33</v>
      </c>
      <c r="J271" t="s">
        <v>34</v>
      </c>
      <c r="K271" s="1">
        <v>0.14630000000000001</v>
      </c>
      <c r="L271" t="s">
        <v>30</v>
      </c>
      <c r="M271">
        <v>22</v>
      </c>
      <c r="N271" t="s">
        <v>80</v>
      </c>
      <c r="O271" t="s">
        <v>242</v>
      </c>
      <c r="P271">
        <v>336</v>
      </c>
      <c r="Q271">
        <v>100</v>
      </c>
      <c r="R271" t="s">
        <v>36</v>
      </c>
      <c r="S271">
        <v>12</v>
      </c>
      <c r="T271">
        <v>12</v>
      </c>
      <c r="U271" t="s">
        <v>112</v>
      </c>
      <c r="V271" t="s">
        <v>37</v>
      </c>
      <c r="W271">
        <v>450</v>
      </c>
      <c r="X271">
        <v>60</v>
      </c>
      <c r="Y271" t="s">
        <v>38</v>
      </c>
      <c r="Z271">
        <v>20</v>
      </c>
      <c r="AA271" t="s">
        <v>39</v>
      </c>
      <c r="AB271">
        <v>20</v>
      </c>
      <c r="AC271" t="s">
        <v>40</v>
      </c>
    </row>
    <row r="272" spans="1:29" x14ac:dyDescent="0.25">
      <c r="A272" t="str">
        <f t="shared" si="3"/>
        <v>EEM_EG_Pavlovagyrans_raw_002_005_F3.csv</v>
      </c>
      <c r="B272" t="s">
        <v>29</v>
      </c>
      <c r="C272" t="s">
        <v>30</v>
      </c>
      <c r="D272" t="s">
        <v>30</v>
      </c>
      <c r="E272" t="s">
        <v>31</v>
      </c>
      <c r="F272">
        <v>2</v>
      </c>
      <c r="G272">
        <v>5</v>
      </c>
      <c r="H272" t="s">
        <v>99</v>
      </c>
      <c r="I272" t="s">
        <v>33</v>
      </c>
      <c r="J272" t="s">
        <v>34</v>
      </c>
      <c r="K272" s="1">
        <v>0.1313</v>
      </c>
      <c r="L272" t="s">
        <v>30</v>
      </c>
      <c r="M272">
        <v>22</v>
      </c>
      <c r="N272" t="s">
        <v>42</v>
      </c>
      <c r="O272" t="s">
        <v>242</v>
      </c>
      <c r="P272">
        <v>336</v>
      </c>
      <c r="Q272">
        <v>100</v>
      </c>
      <c r="R272" t="s">
        <v>36</v>
      </c>
      <c r="S272">
        <v>12</v>
      </c>
      <c r="T272">
        <v>12</v>
      </c>
      <c r="U272" t="s">
        <v>112</v>
      </c>
      <c r="V272" t="s">
        <v>37</v>
      </c>
      <c r="W272">
        <v>450</v>
      </c>
      <c r="X272">
        <v>60</v>
      </c>
      <c r="Y272" t="s">
        <v>38</v>
      </c>
      <c r="Z272">
        <v>20</v>
      </c>
      <c r="AA272" t="s">
        <v>39</v>
      </c>
      <c r="AB272">
        <v>20</v>
      </c>
      <c r="AC272" t="s">
        <v>40</v>
      </c>
    </row>
    <row r="273" spans="1:29" x14ac:dyDescent="0.25">
      <c r="A273" t="str">
        <f t="shared" si="3"/>
        <v>EEM_EG_Pavlovagyrans_raw_002_005_F4.csv</v>
      </c>
      <c r="B273" t="s">
        <v>29</v>
      </c>
      <c r="C273" t="s">
        <v>30</v>
      </c>
      <c r="D273" t="s">
        <v>30</v>
      </c>
      <c r="E273" t="s">
        <v>31</v>
      </c>
      <c r="F273">
        <v>2</v>
      </c>
      <c r="G273">
        <v>5</v>
      </c>
      <c r="H273" t="s">
        <v>100</v>
      </c>
      <c r="I273" t="s">
        <v>33</v>
      </c>
      <c r="J273" t="s">
        <v>34</v>
      </c>
      <c r="K273" s="1">
        <v>0.13880000000000001</v>
      </c>
      <c r="L273" t="s">
        <v>30</v>
      </c>
      <c r="M273">
        <v>22</v>
      </c>
      <c r="N273" t="s">
        <v>82</v>
      </c>
      <c r="O273" t="s">
        <v>242</v>
      </c>
      <c r="P273">
        <v>336</v>
      </c>
      <c r="Q273">
        <v>100</v>
      </c>
      <c r="R273" t="s">
        <v>36</v>
      </c>
      <c r="S273">
        <v>12</v>
      </c>
      <c r="T273">
        <v>12</v>
      </c>
      <c r="U273" t="s">
        <v>112</v>
      </c>
      <c r="V273" t="s">
        <v>37</v>
      </c>
      <c r="W273">
        <v>450</v>
      </c>
      <c r="X273">
        <v>60</v>
      </c>
      <c r="Y273" t="s">
        <v>38</v>
      </c>
      <c r="Z273">
        <v>20</v>
      </c>
      <c r="AA273" t="s">
        <v>39</v>
      </c>
      <c r="AB273">
        <v>20</v>
      </c>
      <c r="AC273" t="s">
        <v>40</v>
      </c>
    </row>
    <row r="274" spans="1:29" x14ac:dyDescent="0.25">
      <c r="A274" t="str">
        <f t="shared" si="3"/>
        <v>EEM_EG_Pavlovagyrans_raw_002_005_F5.csv</v>
      </c>
      <c r="B274" t="s">
        <v>29</v>
      </c>
      <c r="C274" t="s">
        <v>30</v>
      </c>
      <c r="D274" t="s">
        <v>30</v>
      </c>
      <c r="E274" t="s">
        <v>31</v>
      </c>
      <c r="F274">
        <v>2</v>
      </c>
      <c r="G274">
        <v>5</v>
      </c>
      <c r="H274" t="s">
        <v>101</v>
      </c>
      <c r="I274" t="s">
        <v>33</v>
      </c>
      <c r="J274" t="s">
        <v>34</v>
      </c>
      <c r="K274" s="1">
        <v>0.13100000000000001</v>
      </c>
      <c r="L274" t="s">
        <v>30</v>
      </c>
      <c r="M274">
        <v>22</v>
      </c>
      <c r="N274" t="s">
        <v>44</v>
      </c>
      <c r="O274" t="s">
        <v>242</v>
      </c>
      <c r="P274">
        <v>336</v>
      </c>
      <c r="Q274">
        <v>100</v>
      </c>
      <c r="R274" t="s">
        <v>36</v>
      </c>
      <c r="S274">
        <v>12</v>
      </c>
      <c r="T274">
        <v>12</v>
      </c>
      <c r="U274" t="s">
        <v>112</v>
      </c>
      <c r="V274" t="s">
        <v>37</v>
      </c>
      <c r="W274">
        <v>450</v>
      </c>
      <c r="X274">
        <v>60</v>
      </c>
      <c r="Y274" t="s">
        <v>38</v>
      </c>
      <c r="Z274">
        <v>20</v>
      </c>
      <c r="AA274" t="s">
        <v>39</v>
      </c>
      <c r="AB274">
        <v>20</v>
      </c>
      <c r="AC274" t="s">
        <v>40</v>
      </c>
    </row>
    <row r="275" spans="1:29" x14ac:dyDescent="0.25">
      <c r="A275" t="str">
        <f t="shared" si="3"/>
        <v>EEM_EG_Pavlovagyrans_raw_002_005_F6.csv</v>
      </c>
      <c r="B275" t="s">
        <v>29</v>
      </c>
      <c r="C275" t="s">
        <v>30</v>
      </c>
      <c r="D275" t="s">
        <v>30</v>
      </c>
      <c r="E275" t="s">
        <v>31</v>
      </c>
      <c r="F275">
        <v>2</v>
      </c>
      <c r="G275">
        <v>5</v>
      </c>
      <c r="H275" t="s">
        <v>102</v>
      </c>
      <c r="I275" t="s">
        <v>33</v>
      </c>
      <c r="J275" t="s">
        <v>34</v>
      </c>
      <c r="K275" s="1">
        <v>0.13589999999999999</v>
      </c>
      <c r="L275" t="s">
        <v>30</v>
      </c>
      <c r="M275">
        <v>22</v>
      </c>
      <c r="N275" t="s">
        <v>84</v>
      </c>
      <c r="O275" t="s">
        <v>242</v>
      </c>
      <c r="P275">
        <v>336</v>
      </c>
      <c r="Q275">
        <v>100</v>
      </c>
      <c r="R275" t="s">
        <v>36</v>
      </c>
      <c r="S275">
        <v>12</v>
      </c>
      <c r="T275">
        <v>12</v>
      </c>
      <c r="U275" t="s">
        <v>112</v>
      </c>
      <c r="V275" t="s">
        <v>37</v>
      </c>
      <c r="W275">
        <v>450</v>
      </c>
      <c r="X275">
        <v>60</v>
      </c>
      <c r="Y275" t="s">
        <v>38</v>
      </c>
      <c r="Z275">
        <v>20</v>
      </c>
      <c r="AA275" t="s">
        <v>39</v>
      </c>
      <c r="AB275">
        <v>20</v>
      </c>
      <c r="AC275" t="s">
        <v>40</v>
      </c>
    </row>
    <row r="276" spans="1:29" x14ac:dyDescent="0.25">
      <c r="A276" t="str">
        <f t="shared" si="3"/>
        <v>EEM_EG_Pavlovagyrans_raw_002_005_F7.csv</v>
      </c>
      <c r="B276" t="s">
        <v>29</v>
      </c>
      <c r="C276" t="s">
        <v>30</v>
      </c>
      <c r="D276" t="s">
        <v>30</v>
      </c>
      <c r="E276" t="s">
        <v>31</v>
      </c>
      <c r="F276">
        <v>2</v>
      </c>
      <c r="G276">
        <v>5</v>
      </c>
      <c r="H276" t="s">
        <v>103</v>
      </c>
      <c r="I276" t="s">
        <v>33</v>
      </c>
      <c r="J276" t="s">
        <v>34</v>
      </c>
      <c r="K276" s="1">
        <v>0.1598</v>
      </c>
      <c r="L276" t="s">
        <v>30</v>
      </c>
      <c r="M276">
        <v>22</v>
      </c>
      <c r="N276" t="s">
        <v>46</v>
      </c>
      <c r="O276" t="s">
        <v>242</v>
      </c>
      <c r="P276">
        <v>336</v>
      </c>
      <c r="Q276">
        <v>100</v>
      </c>
      <c r="R276" t="s">
        <v>36</v>
      </c>
      <c r="S276">
        <v>12</v>
      </c>
      <c r="T276">
        <v>12</v>
      </c>
      <c r="U276" t="s">
        <v>112</v>
      </c>
      <c r="V276" t="s">
        <v>37</v>
      </c>
      <c r="W276">
        <v>450</v>
      </c>
      <c r="X276">
        <v>60</v>
      </c>
      <c r="Y276" t="s">
        <v>38</v>
      </c>
      <c r="Z276">
        <v>20</v>
      </c>
      <c r="AA276" t="s">
        <v>39</v>
      </c>
      <c r="AB276">
        <v>20</v>
      </c>
      <c r="AC276" t="s">
        <v>40</v>
      </c>
    </row>
    <row r="277" spans="1:29" x14ac:dyDescent="0.25">
      <c r="A277" t="str">
        <f t="shared" si="3"/>
        <v>EEM_EG_Pavlovagyrans_raw_002_005_F8.csv</v>
      </c>
      <c r="B277" t="s">
        <v>29</v>
      </c>
      <c r="C277" t="s">
        <v>30</v>
      </c>
      <c r="D277" t="s">
        <v>30</v>
      </c>
      <c r="E277" t="s">
        <v>31</v>
      </c>
      <c r="F277">
        <v>2</v>
      </c>
      <c r="G277">
        <v>5</v>
      </c>
      <c r="H277" t="s">
        <v>104</v>
      </c>
      <c r="I277" t="s">
        <v>33</v>
      </c>
      <c r="J277" t="s">
        <v>34</v>
      </c>
      <c r="K277" s="1">
        <v>0.16539999999999999</v>
      </c>
      <c r="L277" t="s">
        <v>30</v>
      </c>
      <c r="M277">
        <v>22</v>
      </c>
      <c r="N277" t="s">
        <v>86</v>
      </c>
      <c r="O277" t="s">
        <v>242</v>
      </c>
      <c r="P277">
        <v>336</v>
      </c>
      <c r="Q277">
        <v>100</v>
      </c>
      <c r="R277" t="s">
        <v>36</v>
      </c>
      <c r="S277">
        <v>12</v>
      </c>
      <c r="T277">
        <v>12</v>
      </c>
      <c r="U277" t="s">
        <v>112</v>
      </c>
      <c r="V277" t="s">
        <v>37</v>
      </c>
      <c r="W277">
        <v>450</v>
      </c>
      <c r="X277">
        <v>60</v>
      </c>
      <c r="Y277" t="s">
        <v>38</v>
      </c>
      <c r="Z277">
        <v>20</v>
      </c>
      <c r="AA277" t="s">
        <v>39</v>
      </c>
      <c r="AB277">
        <v>20</v>
      </c>
      <c r="AC277" t="s">
        <v>40</v>
      </c>
    </row>
    <row r="278" spans="1:29" x14ac:dyDescent="0.25">
      <c r="A278" t="str">
        <f>"EEM_EG_Pavlovagyrans_raw_002_006_"&amp;H278&amp;".csv"</f>
        <v>EEM_EG_Pavlovagyrans_raw_002_006_A1.csv</v>
      </c>
      <c r="B278" t="s">
        <v>29</v>
      </c>
      <c r="C278" t="s">
        <v>30</v>
      </c>
      <c r="D278" t="s">
        <v>30</v>
      </c>
      <c r="E278" t="s">
        <v>31</v>
      </c>
      <c r="F278">
        <v>2</v>
      </c>
      <c r="G278">
        <v>6</v>
      </c>
      <c r="H278" t="s">
        <v>110</v>
      </c>
      <c r="I278" t="s">
        <v>33</v>
      </c>
      <c r="J278" t="s">
        <v>34</v>
      </c>
      <c r="K278" s="1">
        <v>0.2127</v>
      </c>
      <c r="L278" t="s">
        <v>30</v>
      </c>
      <c r="M278">
        <v>22</v>
      </c>
      <c r="N278" t="s">
        <v>48</v>
      </c>
      <c r="O278" t="s">
        <v>243</v>
      </c>
      <c r="P278">
        <v>336</v>
      </c>
      <c r="Q278">
        <v>100</v>
      </c>
      <c r="R278" t="s">
        <v>36</v>
      </c>
      <c r="S278">
        <v>12</v>
      </c>
      <c r="T278">
        <v>12</v>
      </c>
      <c r="U278" t="s">
        <v>112</v>
      </c>
      <c r="V278" t="s">
        <v>37</v>
      </c>
      <c r="W278">
        <v>450</v>
      </c>
      <c r="X278">
        <v>60</v>
      </c>
      <c r="Y278" t="s">
        <v>38</v>
      </c>
      <c r="Z278">
        <v>20</v>
      </c>
      <c r="AA278" t="s">
        <v>39</v>
      </c>
      <c r="AB278">
        <v>20</v>
      </c>
      <c r="AC278" t="s">
        <v>40</v>
      </c>
    </row>
    <row r="279" spans="1:29" x14ac:dyDescent="0.25">
      <c r="A279" t="str">
        <f t="shared" ref="A279:A342" si="4">"EEM_EG_Pavlovagyrans_raw_002_006_"&amp;H279&amp;".csv"</f>
        <v>EEM_EG_Pavlovagyrans_raw_002_006_A2.csv</v>
      </c>
      <c r="B279" t="s">
        <v>29</v>
      </c>
      <c r="C279" t="s">
        <v>30</v>
      </c>
      <c r="D279" t="s">
        <v>30</v>
      </c>
      <c r="E279" t="s">
        <v>31</v>
      </c>
      <c r="F279">
        <v>2</v>
      </c>
      <c r="G279">
        <v>6</v>
      </c>
      <c r="H279" t="s">
        <v>114</v>
      </c>
      <c r="I279" t="s">
        <v>33</v>
      </c>
      <c r="J279" t="s">
        <v>34</v>
      </c>
      <c r="K279" s="1">
        <v>0.21060000000000001</v>
      </c>
      <c r="L279" t="s">
        <v>30</v>
      </c>
      <c r="M279">
        <v>22</v>
      </c>
      <c r="N279" t="s">
        <v>88</v>
      </c>
      <c r="O279" t="s">
        <v>243</v>
      </c>
      <c r="P279">
        <v>336</v>
      </c>
      <c r="Q279">
        <v>100</v>
      </c>
      <c r="R279" t="s">
        <v>36</v>
      </c>
      <c r="S279">
        <v>12</v>
      </c>
      <c r="T279">
        <v>12</v>
      </c>
      <c r="U279" t="s">
        <v>112</v>
      </c>
      <c r="V279" t="s">
        <v>37</v>
      </c>
      <c r="W279">
        <v>450</v>
      </c>
      <c r="X279">
        <v>60</v>
      </c>
      <c r="Y279" t="s">
        <v>38</v>
      </c>
      <c r="Z279">
        <v>20</v>
      </c>
      <c r="AA279" t="s">
        <v>39</v>
      </c>
      <c r="AB279">
        <v>20</v>
      </c>
      <c r="AC279" t="s">
        <v>40</v>
      </c>
    </row>
    <row r="280" spans="1:29" x14ac:dyDescent="0.25">
      <c r="A280" t="str">
        <f t="shared" si="4"/>
        <v>EEM_EG_Pavlovagyrans_raw_002_006_A3.csv</v>
      </c>
      <c r="B280" t="s">
        <v>29</v>
      </c>
      <c r="C280" t="s">
        <v>30</v>
      </c>
      <c r="D280" t="s">
        <v>30</v>
      </c>
      <c r="E280" t="s">
        <v>31</v>
      </c>
      <c r="F280">
        <v>2</v>
      </c>
      <c r="G280">
        <v>6</v>
      </c>
      <c r="H280" t="s">
        <v>116</v>
      </c>
      <c r="I280" t="s">
        <v>33</v>
      </c>
      <c r="J280" t="s">
        <v>34</v>
      </c>
      <c r="K280" s="1">
        <v>0.23680000000000001</v>
      </c>
      <c r="L280" t="s">
        <v>30</v>
      </c>
      <c r="M280">
        <v>22</v>
      </c>
      <c r="N280" t="s">
        <v>50</v>
      </c>
      <c r="O280" t="s">
        <v>243</v>
      </c>
      <c r="P280">
        <v>336</v>
      </c>
      <c r="Q280">
        <v>100</v>
      </c>
      <c r="R280" t="s">
        <v>36</v>
      </c>
      <c r="S280">
        <v>12</v>
      </c>
      <c r="T280">
        <v>12</v>
      </c>
      <c r="U280" t="s">
        <v>112</v>
      </c>
      <c r="V280" t="s">
        <v>37</v>
      </c>
      <c r="W280">
        <v>450</v>
      </c>
      <c r="X280">
        <v>60</v>
      </c>
      <c r="Y280" t="s">
        <v>38</v>
      </c>
      <c r="Z280">
        <v>20</v>
      </c>
      <c r="AA280" t="s">
        <v>39</v>
      </c>
      <c r="AB280">
        <v>20</v>
      </c>
      <c r="AC280" t="s">
        <v>40</v>
      </c>
    </row>
    <row r="281" spans="1:29" x14ac:dyDescent="0.25">
      <c r="A281" t="str">
        <f t="shared" si="4"/>
        <v>EEM_EG_Pavlovagyrans_raw_002_006_A4.csv</v>
      </c>
      <c r="B281" t="s">
        <v>29</v>
      </c>
      <c r="C281" t="s">
        <v>30</v>
      </c>
      <c r="D281" t="s">
        <v>30</v>
      </c>
      <c r="E281" t="s">
        <v>31</v>
      </c>
      <c r="F281">
        <v>2</v>
      </c>
      <c r="G281">
        <v>6</v>
      </c>
      <c r="H281" t="s">
        <v>118</v>
      </c>
      <c r="I281" t="s">
        <v>33</v>
      </c>
      <c r="J281" t="s">
        <v>34</v>
      </c>
      <c r="K281" s="1">
        <v>0.21759999999999999</v>
      </c>
      <c r="L281" t="s">
        <v>30</v>
      </c>
      <c r="M281">
        <v>22</v>
      </c>
      <c r="N281" t="s">
        <v>90</v>
      </c>
      <c r="O281" t="s">
        <v>243</v>
      </c>
      <c r="P281">
        <v>336</v>
      </c>
      <c r="Q281">
        <v>100</v>
      </c>
      <c r="R281" t="s">
        <v>36</v>
      </c>
      <c r="S281">
        <v>12</v>
      </c>
      <c r="T281">
        <v>12</v>
      </c>
      <c r="U281" t="s">
        <v>112</v>
      </c>
      <c r="V281" t="s">
        <v>37</v>
      </c>
      <c r="W281">
        <v>450</v>
      </c>
      <c r="X281">
        <v>60</v>
      </c>
      <c r="Y281" t="s">
        <v>38</v>
      </c>
      <c r="Z281">
        <v>20</v>
      </c>
      <c r="AA281" t="s">
        <v>39</v>
      </c>
      <c r="AB281">
        <v>20</v>
      </c>
      <c r="AC281" t="s">
        <v>40</v>
      </c>
    </row>
    <row r="282" spans="1:29" x14ac:dyDescent="0.25">
      <c r="A282" t="str">
        <f t="shared" si="4"/>
        <v>EEM_EG_Pavlovagyrans_raw_002_006_A5.csv</v>
      </c>
      <c r="B282" t="s">
        <v>29</v>
      </c>
      <c r="C282" t="s">
        <v>30</v>
      </c>
      <c r="D282" t="s">
        <v>30</v>
      </c>
      <c r="E282" t="s">
        <v>31</v>
      </c>
      <c r="F282">
        <v>2</v>
      </c>
      <c r="G282">
        <v>6</v>
      </c>
      <c r="H282" t="s">
        <v>120</v>
      </c>
      <c r="I282" t="s">
        <v>33</v>
      </c>
      <c r="J282" t="s">
        <v>34</v>
      </c>
      <c r="K282" s="1">
        <v>0.20419999999999999</v>
      </c>
      <c r="L282" t="s">
        <v>30</v>
      </c>
      <c r="M282">
        <v>22</v>
      </c>
      <c r="N282" t="s">
        <v>52</v>
      </c>
      <c r="O282" t="s">
        <v>243</v>
      </c>
      <c r="P282">
        <v>336</v>
      </c>
      <c r="Q282">
        <v>100</v>
      </c>
      <c r="R282" t="s">
        <v>36</v>
      </c>
      <c r="S282">
        <v>12</v>
      </c>
      <c r="T282">
        <v>12</v>
      </c>
      <c r="U282" t="s">
        <v>112</v>
      </c>
      <c r="V282" t="s">
        <v>37</v>
      </c>
      <c r="W282">
        <v>450</v>
      </c>
      <c r="X282">
        <v>60</v>
      </c>
      <c r="Y282" t="s">
        <v>38</v>
      </c>
      <c r="Z282">
        <v>20</v>
      </c>
      <c r="AA282" t="s">
        <v>39</v>
      </c>
      <c r="AB282">
        <v>20</v>
      </c>
      <c r="AC282" t="s">
        <v>40</v>
      </c>
    </row>
    <row r="283" spans="1:29" x14ac:dyDescent="0.25">
      <c r="A283" t="str">
        <f t="shared" si="4"/>
        <v>EEM_EG_Pavlovagyrans_raw_002_006_A6.csv</v>
      </c>
      <c r="B283" t="s">
        <v>29</v>
      </c>
      <c r="C283" t="s">
        <v>30</v>
      </c>
      <c r="D283" t="s">
        <v>30</v>
      </c>
      <c r="E283" t="s">
        <v>31</v>
      </c>
      <c r="F283">
        <v>2</v>
      </c>
      <c r="G283">
        <v>6</v>
      </c>
      <c r="H283" t="s">
        <v>122</v>
      </c>
      <c r="I283" t="s">
        <v>33</v>
      </c>
      <c r="J283" t="s">
        <v>34</v>
      </c>
      <c r="K283" s="1">
        <v>0.19070000000000001</v>
      </c>
      <c r="L283" t="s">
        <v>30</v>
      </c>
      <c r="M283">
        <v>22</v>
      </c>
      <c r="N283" t="s">
        <v>92</v>
      </c>
      <c r="O283" t="s">
        <v>243</v>
      </c>
      <c r="P283">
        <v>336</v>
      </c>
      <c r="Q283">
        <v>100</v>
      </c>
      <c r="R283" t="s">
        <v>36</v>
      </c>
      <c r="S283">
        <v>12</v>
      </c>
      <c r="T283">
        <v>12</v>
      </c>
      <c r="U283" t="s">
        <v>112</v>
      </c>
      <c r="V283" t="s">
        <v>37</v>
      </c>
      <c r="W283">
        <v>450</v>
      </c>
      <c r="X283">
        <v>60</v>
      </c>
      <c r="Y283" t="s">
        <v>38</v>
      </c>
      <c r="Z283">
        <v>20</v>
      </c>
      <c r="AA283" t="s">
        <v>39</v>
      </c>
      <c r="AB283">
        <v>20</v>
      </c>
      <c r="AC283" t="s">
        <v>40</v>
      </c>
    </row>
    <row r="284" spans="1:29" x14ac:dyDescent="0.25">
      <c r="A284" t="str">
        <f t="shared" si="4"/>
        <v>EEM_EG_Pavlovagyrans_raw_002_006_A7.csv</v>
      </c>
      <c r="B284" t="s">
        <v>29</v>
      </c>
      <c r="C284" t="s">
        <v>30</v>
      </c>
      <c r="D284" t="s">
        <v>30</v>
      </c>
      <c r="E284" t="s">
        <v>31</v>
      </c>
      <c r="F284">
        <v>2</v>
      </c>
      <c r="G284">
        <v>6</v>
      </c>
      <c r="H284" t="s">
        <v>124</v>
      </c>
      <c r="I284" t="s">
        <v>33</v>
      </c>
      <c r="J284" t="s">
        <v>34</v>
      </c>
      <c r="K284" s="1">
        <v>0.1832</v>
      </c>
      <c r="L284" t="s">
        <v>30</v>
      </c>
      <c r="M284">
        <v>22</v>
      </c>
      <c r="N284" t="s">
        <v>54</v>
      </c>
      <c r="O284" t="s">
        <v>243</v>
      </c>
      <c r="P284">
        <v>336</v>
      </c>
      <c r="Q284">
        <v>100</v>
      </c>
      <c r="R284" t="s">
        <v>36</v>
      </c>
      <c r="S284">
        <v>12</v>
      </c>
      <c r="T284">
        <v>12</v>
      </c>
      <c r="U284" t="s">
        <v>112</v>
      </c>
      <c r="V284" t="s">
        <v>37</v>
      </c>
      <c r="W284">
        <v>450</v>
      </c>
      <c r="X284">
        <v>60</v>
      </c>
      <c r="Y284" t="s">
        <v>38</v>
      </c>
      <c r="Z284">
        <v>20</v>
      </c>
      <c r="AA284" t="s">
        <v>39</v>
      </c>
      <c r="AB284">
        <v>20</v>
      </c>
      <c r="AC284" t="s">
        <v>40</v>
      </c>
    </row>
    <row r="285" spans="1:29" x14ac:dyDescent="0.25">
      <c r="A285" t="str">
        <f t="shared" si="4"/>
        <v>EEM_EG_Pavlovagyrans_raw_002_006_A8.csv</v>
      </c>
      <c r="B285" t="s">
        <v>29</v>
      </c>
      <c r="C285" t="s">
        <v>30</v>
      </c>
      <c r="D285" t="s">
        <v>30</v>
      </c>
      <c r="E285" t="s">
        <v>31</v>
      </c>
      <c r="F285">
        <v>2</v>
      </c>
      <c r="G285">
        <v>6</v>
      </c>
      <c r="H285" t="s">
        <v>126</v>
      </c>
      <c r="I285" t="s">
        <v>33</v>
      </c>
      <c r="J285" t="s">
        <v>34</v>
      </c>
      <c r="K285" s="1">
        <v>0.1638</v>
      </c>
      <c r="L285" t="s">
        <v>30</v>
      </c>
      <c r="M285">
        <v>22</v>
      </c>
      <c r="N285" t="s">
        <v>94</v>
      </c>
      <c r="O285" t="s">
        <v>243</v>
      </c>
      <c r="P285">
        <v>336</v>
      </c>
      <c r="Q285">
        <v>100</v>
      </c>
      <c r="R285" t="s">
        <v>36</v>
      </c>
      <c r="S285">
        <v>12</v>
      </c>
      <c r="T285">
        <v>12</v>
      </c>
      <c r="U285" t="s">
        <v>112</v>
      </c>
      <c r="V285" t="s">
        <v>37</v>
      </c>
      <c r="W285">
        <v>450</v>
      </c>
      <c r="X285">
        <v>60</v>
      </c>
      <c r="Y285" t="s">
        <v>38</v>
      </c>
      <c r="Z285">
        <v>20</v>
      </c>
      <c r="AA285" t="s">
        <v>39</v>
      </c>
      <c r="AB285">
        <v>20</v>
      </c>
      <c r="AC285" t="s">
        <v>40</v>
      </c>
    </row>
    <row r="286" spans="1:29" x14ac:dyDescent="0.25">
      <c r="A286" t="str">
        <f t="shared" si="4"/>
        <v>EEM_EG_Pavlovagyrans_raw_002_006_A9.csv</v>
      </c>
      <c r="B286" t="s">
        <v>29</v>
      </c>
      <c r="C286" t="s">
        <v>30</v>
      </c>
      <c r="D286" t="s">
        <v>30</v>
      </c>
      <c r="E286" t="s">
        <v>31</v>
      </c>
      <c r="F286">
        <v>2</v>
      </c>
      <c r="G286">
        <v>6</v>
      </c>
      <c r="H286" t="s">
        <v>182</v>
      </c>
      <c r="I286" t="s">
        <v>33</v>
      </c>
      <c r="J286" t="s">
        <v>34</v>
      </c>
      <c r="K286" s="1">
        <v>0.2001</v>
      </c>
      <c r="L286" t="s">
        <v>30</v>
      </c>
      <c r="M286">
        <v>22</v>
      </c>
      <c r="N286" t="s">
        <v>56</v>
      </c>
      <c r="O286" t="s">
        <v>243</v>
      </c>
      <c r="P286">
        <v>336</v>
      </c>
      <c r="Q286">
        <v>100</v>
      </c>
      <c r="R286" t="s">
        <v>36</v>
      </c>
      <c r="S286">
        <v>12</v>
      </c>
      <c r="T286">
        <v>12</v>
      </c>
      <c r="U286" t="s">
        <v>112</v>
      </c>
      <c r="V286" t="s">
        <v>37</v>
      </c>
      <c r="W286">
        <v>450</v>
      </c>
      <c r="X286">
        <v>60</v>
      </c>
      <c r="Y286" t="s">
        <v>38</v>
      </c>
      <c r="Z286">
        <v>20</v>
      </c>
      <c r="AA286" t="s">
        <v>39</v>
      </c>
      <c r="AB286">
        <v>20</v>
      </c>
      <c r="AC286" t="s">
        <v>40</v>
      </c>
    </row>
    <row r="287" spans="1:29" x14ac:dyDescent="0.25">
      <c r="A287" t="str">
        <f t="shared" si="4"/>
        <v>EEM_EG_Pavlovagyrans_raw_002_006_A10.csv</v>
      </c>
      <c r="B287" t="s">
        <v>29</v>
      </c>
      <c r="C287" t="s">
        <v>30</v>
      </c>
      <c r="D287" t="s">
        <v>30</v>
      </c>
      <c r="E287" t="s">
        <v>31</v>
      </c>
      <c r="F287">
        <v>2</v>
      </c>
      <c r="G287">
        <v>6</v>
      </c>
      <c r="H287" t="s">
        <v>184</v>
      </c>
      <c r="I287" t="s">
        <v>33</v>
      </c>
      <c r="J287" t="s">
        <v>34</v>
      </c>
      <c r="K287" s="1">
        <v>0.17849999999999999</v>
      </c>
      <c r="L287" t="s">
        <v>30</v>
      </c>
      <c r="M287">
        <v>22</v>
      </c>
      <c r="N287" t="s">
        <v>96</v>
      </c>
      <c r="O287" t="s">
        <v>243</v>
      </c>
      <c r="P287">
        <v>336</v>
      </c>
      <c r="Q287">
        <v>100</v>
      </c>
      <c r="R287" t="s">
        <v>36</v>
      </c>
      <c r="S287">
        <v>12</v>
      </c>
      <c r="T287">
        <v>12</v>
      </c>
      <c r="U287" t="s">
        <v>112</v>
      </c>
      <c r="V287" t="s">
        <v>37</v>
      </c>
      <c r="W287">
        <v>450</v>
      </c>
      <c r="X287">
        <v>60</v>
      </c>
      <c r="Y287" t="s">
        <v>38</v>
      </c>
      <c r="Z287">
        <v>20</v>
      </c>
      <c r="AA287" t="s">
        <v>39</v>
      </c>
      <c r="AB287">
        <v>20</v>
      </c>
      <c r="AC287" t="s">
        <v>40</v>
      </c>
    </row>
    <row r="288" spans="1:29" x14ac:dyDescent="0.25">
      <c r="A288" t="str">
        <f t="shared" si="4"/>
        <v>EEM_EG_Pavlovagyrans_raw_002_006_A11.csv</v>
      </c>
      <c r="B288" t="s">
        <v>29</v>
      </c>
      <c r="C288" t="s">
        <v>30</v>
      </c>
      <c r="D288" t="s">
        <v>30</v>
      </c>
      <c r="E288" t="s">
        <v>31</v>
      </c>
      <c r="F288">
        <v>2</v>
      </c>
      <c r="G288">
        <v>6</v>
      </c>
      <c r="H288" t="s">
        <v>186</v>
      </c>
      <c r="I288" t="s">
        <v>33</v>
      </c>
      <c r="J288" t="s">
        <v>34</v>
      </c>
      <c r="K288" s="1">
        <v>0.156</v>
      </c>
      <c r="L288" t="s">
        <v>30</v>
      </c>
      <c r="M288">
        <v>22</v>
      </c>
      <c r="N288" t="s">
        <v>58</v>
      </c>
      <c r="O288" t="s">
        <v>243</v>
      </c>
      <c r="P288">
        <v>336</v>
      </c>
      <c r="Q288">
        <v>100</v>
      </c>
      <c r="R288" t="s">
        <v>36</v>
      </c>
      <c r="S288">
        <v>12</v>
      </c>
      <c r="T288">
        <v>12</v>
      </c>
      <c r="U288" t="s">
        <v>112</v>
      </c>
      <c r="V288" t="s">
        <v>37</v>
      </c>
      <c r="W288">
        <v>450</v>
      </c>
      <c r="X288">
        <v>60</v>
      </c>
      <c r="Y288" t="s">
        <v>38</v>
      </c>
      <c r="Z288">
        <v>20</v>
      </c>
      <c r="AA288" t="s">
        <v>39</v>
      </c>
      <c r="AB288">
        <v>20</v>
      </c>
      <c r="AC288" t="s">
        <v>40</v>
      </c>
    </row>
    <row r="289" spans="1:29" x14ac:dyDescent="0.25">
      <c r="A289" t="str">
        <f t="shared" si="4"/>
        <v>EEM_EG_Pavlovagyrans_raw_002_006_B1.csv</v>
      </c>
      <c r="B289" t="s">
        <v>29</v>
      </c>
      <c r="C289" t="s">
        <v>30</v>
      </c>
      <c r="D289" t="s">
        <v>30</v>
      </c>
      <c r="E289" t="s">
        <v>31</v>
      </c>
      <c r="F289">
        <v>2</v>
      </c>
      <c r="G289">
        <v>6</v>
      </c>
      <c r="H289" t="s">
        <v>128</v>
      </c>
      <c r="I289" t="s">
        <v>33</v>
      </c>
      <c r="J289" t="s">
        <v>34</v>
      </c>
      <c r="K289" s="1">
        <v>0.2107</v>
      </c>
      <c r="L289" t="s">
        <v>30</v>
      </c>
      <c r="M289">
        <v>22</v>
      </c>
      <c r="N289" t="s">
        <v>48</v>
      </c>
      <c r="O289" t="s">
        <v>243</v>
      </c>
      <c r="P289">
        <v>336</v>
      </c>
      <c r="Q289">
        <v>100</v>
      </c>
      <c r="R289" t="s">
        <v>36</v>
      </c>
      <c r="S289">
        <v>12</v>
      </c>
      <c r="T289">
        <v>12</v>
      </c>
      <c r="U289" t="s">
        <v>112</v>
      </c>
      <c r="V289" t="s">
        <v>37</v>
      </c>
      <c r="W289">
        <v>450</v>
      </c>
      <c r="X289">
        <v>60</v>
      </c>
      <c r="Y289" t="s">
        <v>38</v>
      </c>
      <c r="Z289">
        <v>20</v>
      </c>
      <c r="AA289" t="s">
        <v>39</v>
      </c>
      <c r="AB289">
        <v>20</v>
      </c>
      <c r="AC289" t="s">
        <v>40</v>
      </c>
    </row>
    <row r="290" spans="1:29" x14ac:dyDescent="0.25">
      <c r="A290" t="str">
        <f t="shared" si="4"/>
        <v>EEM_EG_Pavlovagyrans_raw_002_006_B2.csv</v>
      </c>
      <c r="B290" t="s">
        <v>29</v>
      </c>
      <c r="C290" t="s">
        <v>30</v>
      </c>
      <c r="D290" t="s">
        <v>30</v>
      </c>
      <c r="E290" t="s">
        <v>31</v>
      </c>
      <c r="F290">
        <v>2</v>
      </c>
      <c r="G290">
        <v>6</v>
      </c>
      <c r="H290" t="s">
        <v>32</v>
      </c>
      <c r="I290" t="s">
        <v>33</v>
      </c>
      <c r="J290" t="s">
        <v>34</v>
      </c>
      <c r="K290" s="1">
        <v>0.16800000000000001</v>
      </c>
      <c r="L290" t="s">
        <v>30</v>
      </c>
      <c r="M290">
        <v>22</v>
      </c>
      <c r="N290" t="s">
        <v>88</v>
      </c>
      <c r="O290" t="s">
        <v>243</v>
      </c>
      <c r="P290">
        <v>336</v>
      </c>
      <c r="Q290">
        <v>100</v>
      </c>
      <c r="R290" t="s">
        <v>36</v>
      </c>
      <c r="S290">
        <v>12</v>
      </c>
      <c r="T290">
        <v>12</v>
      </c>
      <c r="U290" t="s">
        <v>112</v>
      </c>
      <c r="V290" t="s">
        <v>37</v>
      </c>
      <c r="W290">
        <v>450</v>
      </c>
      <c r="X290">
        <v>60</v>
      </c>
      <c r="Y290" t="s">
        <v>38</v>
      </c>
      <c r="Z290">
        <v>20</v>
      </c>
      <c r="AA290" t="s">
        <v>39</v>
      </c>
      <c r="AB290">
        <v>20</v>
      </c>
      <c r="AC290" t="s">
        <v>40</v>
      </c>
    </row>
    <row r="291" spans="1:29" x14ac:dyDescent="0.25">
      <c r="A291" t="str">
        <f t="shared" si="4"/>
        <v>EEM_EG_Pavlovagyrans_raw_002_006_B3.csv</v>
      </c>
      <c r="B291" t="s">
        <v>29</v>
      </c>
      <c r="C291" t="s">
        <v>30</v>
      </c>
      <c r="D291" t="s">
        <v>30</v>
      </c>
      <c r="E291" t="s">
        <v>31</v>
      </c>
      <c r="F291">
        <v>2</v>
      </c>
      <c r="G291">
        <v>6</v>
      </c>
      <c r="H291" t="s">
        <v>41</v>
      </c>
      <c r="I291" t="s">
        <v>33</v>
      </c>
      <c r="J291" t="s">
        <v>34</v>
      </c>
      <c r="K291" s="1">
        <v>0.1769</v>
      </c>
      <c r="L291" t="s">
        <v>30</v>
      </c>
      <c r="M291">
        <v>22</v>
      </c>
      <c r="N291" t="s">
        <v>50</v>
      </c>
      <c r="O291" t="s">
        <v>243</v>
      </c>
      <c r="P291">
        <v>336</v>
      </c>
      <c r="Q291">
        <v>100</v>
      </c>
      <c r="R291" t="s">
        <v>36</v>
      </c>
      <c r="S291">
        <v>12</v>
      </c>
      <c r="T291">
        <v>12</v>
      </c>
      <c r="U291" t="s">
        <v>112</v>
      </c>
      <c r="V291" t="s">
        <v>37</v>
      </c>
      <c r="W291">
        <v>450</v>
      </c>
      <c r="X291">
        <v>60</v>
      </c>
      <c r="Y291" t="s">
        <v>38</v>
      </c>
      <c r="Z291">
        <v>20</v>
      </c>
      <c r="AA291" t="s">
        <v>39</v>
      </c>
      <c r="AB291">
        <v>20</v>
      </c>
      <c r="AC291" t="s">
        <v>40</v>
      </c>
    </row>
    <row r="292" spans="1:29" x14ac:dyDescent="0.25">
      <c r="A292" t="str">
        <f t="shared" si="4"/>
        <v>EEM_EG_Pavlovagyrans_raw_002_006_B4.csv</v>
      </c>
      <c r="B292" t="s">
        <v>29</v>
      </c>
      <c r="C292" t="s">
        <v>30</v>
      </c>
      <c r="D292" t="s">
        <v>30</v>
      </c>
      <c r="E292" t="s">
        <v>31</v>
      </c>
      <c r="F292">
        <v>2</v>
      </c>
      <c r="G292">
        <v>6</v>
      </c>
      <c r="H292" t="s">
        <v>43</v>
      </c>
      <c r="I292" t="s">
        <v>33</v>
      </c>
      <c r="J292" t="s">
        <v>34</v>
      </c>
      <c r="K292" s="1">
        <v>0.16650000000000001</v>
      </c>
      <c r="L292" t="s">
        <v>30</v>
      </c>
      <c r="M292">
        <v>22</v>
      </c>
      <c r="N292" t="s">
        <v>90</v>
      </c>
      <c r="O292" t="s">
        <v>243</v>
      </c>
      <c r="P292">
        <v>336</v>
      </c>
      <c r="Q292">
        <v>100</v>
      </c>
      <c r="R292" t="s">
        <v>36</v>
      </c>
      <c r="S292">
        <v>12</v>
      </c>
      <c r="T292">
        <v>12</v>
      </c>
      <c r="U292" t="s">
        <v>112</v>
      </c>
      <c r="V292" t="s">
        <v>37</v>
      </c>
      <c r="W292">
        <v>450</v>
      </c>
      <c r="X292">
        <v>60</v>
      </c>
      <c r="Y292" t="s">
        <v>38</v>
      </c>
      <c r="Z292">
        <v>20</v>
      </c>
      <c r="AA292" t="s">
        <v>39</v>
      </c>
      <c r="AB292">
        <v>20</v>
      </c>
      <c r="AC292" t="s">
        <v>40</v>
      </c>
    </row>
    <row r="293" spans="1:29" x14ac:dyDescent="0.25">
      <c r="A293" t="str">
        <f t="shared" si="4"/>
        <v>EEM_EG_Pavlovagyrans_raw_002_006_B5.csv</v>
      </c>
      <c r="B293" t="s">
        <v>29</v>
      </c>
      <c r="C293" t="s">
        <v>30</v>
      </c>
      <c r="D293" t="s">
        <v>30</v>
      </c>
      <c r="E293" t="s">
        <v>31</v>
      </c>
      <c r="F293">
        <v>2</v>
      </c>
      <c r="G293">
        <v>6</v>
      </c>
      <c r="H293" t="s">
        <v>45</v>
      </c>
      <c r="I293" t="s">
        <v>33</v>
      </c>
      <c r="J293" t="s">
        <v>34</v>
      </c>
      <c r="K293" s="1">
        <v>0.17510000000000001</v>
      </c>
      <c r="L293" t="s">
        <v>30</v>
      </c>
      <c r="M293">
        <v>22</v>
      </c>
      <c r="N293" t="s">
        <v>52</v>
      </c>
      <c r="O293" t="s">
        <v>243</v>
      </c>
      <c r="P293">
        <v>336</v>
      </c>
      <c r="Q293">
        <v>100</v>
      </c>
      <c r="R293" t="s">
        <v>36</v>
      </c>
      <c r="S293">
        <v>12</v>
      </c>
      <c r="T293">
        <v>12</v>
      </c>
      <c r="U293" t="s">
        <v>112</v>
      </c>
      <c r="V293" t="s">
        <v>37</v>
      </c>
      <c r="W293">
        <v>450</v>
      </c>
      <c r="X293">
        <v>60</v>
      </c>
      <c r="Y293" t="s">
        <v>38</v>
      </c>
      <c r="Z293">
        <v>20</v>
      </c>
      <c r="AA293" t="s">
        <v>39</v>
      </c>
      <c r="AB293">
        <v>20</v>
      </c>
      <c r="AC293" t="s">
        <v>40</v>
      </c>
    </row>
    <row r="294" spans="1:29" x14ac:dyDescent="0.25">
      <c r="A294" t="str">
        <f t="shared" si="4"/>
        <v>EEM_EG_Pavlovagyrans_raw_002_006_B6.csv</v>
      </c>
      <c r="B294" t="s">
        <v>29</v>
      </c>
      <c r="C294" t="s">
        <v>30</v>
      </c>
      <c r="D294" t="s">
        <v>30</v>
      </c>
      <c r="E294" t="s">
        <v>31</v>
      </c>
      <c r="F294">
        <v>2</v>
      </c>
      <c r="G294">
        <v>6</v>
      </c>
      <c r="H294" t="s">
        <v>47</v>
      </c>
      <c r="I294" t="s">
        <v>33</v>
      </c>
      <c r="J294" t="s">
        <v>34</v>
      </c>
      <c r="K294" s="1">
        <v>0.17580000000000001</v>
      </c>
      <c r="L294" t="s">
        <v>30</v>
      </c>
      <c r="M294">
        <v>22</v>
      </c>
      <c r="N294" t="s">
        <v>92</v>
      </c>
      <c r="O294" t="s">
        <v>243</v>
      </c>
      <c r="P294">
        <v>336</v>
      </c>
      <c r="Q294">
        <v>100</v>
      </c>
      <c r="R294" t="s">
        <v>36</v>
      </c>
      <c r="S294">
        <v>12</v>
      </c>
      <c r="T294">
        <v>12</v>
      </c>
      <c r="U294" t="s">
        <v>112</v>
      </c>
      <c r="V294" t="s">
        <v>37</v>
      </c>
      <c r="W294">
        <v>450</v>
      </c>
      <c r="X294">
        <v>60</v>
      </c>
      <c r="Y294" t="s">
        <v>38</v>
      </c>
      <c r="Z294">
        <v>20</v>
      </c>
      <c r="AA294" t="s">
        <v>39</v>
      </c>
      <c r="AB294">
        <v>20</v>
      </c>
      <c r="AC294" t="s">
        <v>40</v>
      </c>
    </row>
    <row r="295" spans="1:29" x14ac:dyDescent="0.25">
      <c r="A295" t="str">
        <f t="shared" si="4"/>
        <v>EEM_EG_Pavlovagyrans_raw_002_006_B7.csv</v>
      </c>
      <c r="B295" t="s">
        <v>29</v>
      </c>
      <c r="C295" t="s">
        <v>30</v>
      </c>
      <c r="D295" t="s">
        <v>30</v>
      </c>
      <c r="E295" t="s">
        <v>31</v>
      </c>
      <c r="F295">
        <v>2</v>
      </c>
      <c r="G295">
        <v>6</v>
      </c>
      <c r="H295" t="s">
        <v>49</v>
      </c>
      <c r="I295" t="s">
        <v>33</v>
      </c>
      <c r="J295" t="s">
        <v>34</v>
      </c>
      <c r="K295" s="1">
        <v>0.21240000000000001</v>
      </c>
      <c r="L295" t="s">
        <v>30</v>
      </c>
      <c r="M295">
        <v>22</v>
      </c>
      <c r="N295" t="s">
        <v>54</v>
      </c>
      <c r="O295" t="s">
        <v>243</v>
      </c>
      <c r="P295">
        <v>336</v>
      </c>
      <c r="Q295">
        <v>100</v>
      </c>
      <c r="R295" t="s">
        <v>36</v>
      </c>
      <c r="S295">
        <v>12</v>
      </c>
      <c r="T295">
        <v>12</v>
      </c>
      <c r="U295" t="s">
        <v>112</v>
      </c>
      <c r="V295" t="s">
        <v>37</v>
      </c>
      <c r="W295">
        <v>450</v>
      </c>
      <c r="X295">
        <v>60</v>
      </c>
      <c r="Y295" t="s">
        <v>38</v>
      </c>
      <c r="Z295">
        <v>20</v>
      </c>
      <c r="AA295" t="s">
        <v>39</v>
      </c>
      <c r="AB295">
        <v>20</v>
      </c>
      <c r="AC295" t="s">
        <v>40</v>
      </c>
    </row>
    <row r="296" spans="1:29" x14ac:dyDescent="0.25">
      <c r="A296" t="str">
        <f t="shared" si="4"/>
        <v>EEM_EG_Pavlovagyrans_raw_002_006_B8.csv</v>
      </c>
      <c r="B296" t="s">
        <v>29</v>
      </c>
      <c r="C296" t="s">
        <v>30</v>
      </c>
      <c r="D296" t="s">
        <v>30</v>
      </c>
      <c r="E296" t="s">
        <v>31</v>
      </c>
      <c r="F296">
        <v>2</v>
      </c>
      <c r="G296">
        <v>6</v>
      </c>
      <c r="H296" t="s">
        <v>51</v>
      </c>
      <c r="I296" t="s">
        <v>33</v>
      </c>
      <c r="J296" t="s">
        <v>34</v>
      </c>
      <c r="K296" s="1">
        <v>0.25130000000000002</v>
      </c>
      <c r="L296" t="s">
        <v>30</v>
      </c>
      <c r="M296">
        <v>22</v>
      </c>
      <c r="N296" t="s">
        <v>94</v>
      </c>
      <c r="O296" t="s">
        <v>243</v>
      </c>
      <c r="P296">
        <v>336</v>
      </c>
      <c r="Q296">
        <v>100</v>
      </c>
      <c r="R296" t="s">
        <v>36</v>
      </c>
      <c r="S296">
        <v>12</v>
      </c>
      <c r="T296">
        <v>12</v>
      </c>
      <c r="U296" t="s">
        <v>112</v>
      </c>
      <c r="V296" t="s">
        <v>37</v>
      </c>
      <c r="W296">
        <v>450</v>
      </c>
      <c r="X296">
        <v>60</v>
      </c>
      <c r="Y296" t="s">
        <v>38</v>
      </c>
      <c r="Z296">
        <v>20</v>
      </c>
      <c r="AA296" t="s">
        <v>39</v>
      </c>
      <c r="AB296">
        <v>20</v>
      </c>
      <c r="AC296" t="s">
        <v>40</v>
      </c>
    </row>
    <row r="297" spans="1:29" x14ac:dyDescent="0.25">
      <c r="A297" t="str">
        <f t="shared" si="4"/>
        <v>EEM_EG_Pavlovagyrans_raw_002_006_B9.csv</v>
      </c>
      <c r="B297" t="s">
        <v>29</v>
      </c>
      <c r="C297" t="s">
        <v>30</v>
      </c>
      <c r="D297" t="s">
        <v>30</v>
      </c>
      <c r="E297" t="s">
        <v>31</v>
      </c>
      <c r="F297">
        <v>2</v>
      </c>
      <c r="G297">
        <v>6</v>
      </c>
      <c r="H297" t="s">
        <v>53</v>
      </c>
      <c r="I297" t="s">
        <v>33</v>
      </c>
      <c r="J297" t="s">
        <v>34</v>
      </c>
      <c r="K297" s="1">
        <v>0.24099999999999999</v>
      </c>
      <c r="L297" t="s">
        <v>30</v>
      </c>
      <c r="M297">
        <v>22</v>
      </c>
      <c r="N297" t="s">
        <v>56</v>
      </c>
      <c r="O297" t="s">
        <v>243</v>
      </c>
      <c r="P297">
        <v>336</v>
      </c>
      <c r="Q297">
        <v>100</v>
      </c>
      <c r="R297" t="s">
        <v>36</v>
      </c>
      <c r="S297">
        <v>12</v>
      </c>
      <c r="T297">
        <v>12</v>
      </c>
      <c r="U297" t="s">
        <v>112</v>
      </c>
      <c r="V297" t="s">
        <v>37</v>
      </c>
      <c r="W297">
        <v>450</v>
      </c>
      <c r="X297">
        <v>60</v>
      </c>
      <c r="Y297" t="s">
        <v>38</v>
      </c>
      <c r="Z297">
        <v>20</v>
      </c>
      <c r="AA297" t="s">
        <v>39</v>
      </c>
      <c r="AB297">
        <v>20</v>
      </c>
      <c r="AC297" t="s">
        <v>40</v>
      </c>
    </row>
    <row r="298" spans="1:29" x14ac:dyDescent="0.25">
      <c r="A298" t="str">
        <f t="shared" si="4"/>
        <v>EEM_EG_Pavlovagyrans_raw_002_006_B10.csv</v>
      </c>
      <c r="B298" t="s">
        <v>29</v>
      </c>
      <c r="C298" t="s">
        <v>30</v>
      </c>
      <c r="D298" t="s">
        <v>30</v>
      </c>
      <c r="E298" t="s">
        <v>31</v>
      </c>
      <c r="F298">
        <v>2</v>
      </c>
      <c r="G298">
        <v>6</v>
      </c>
      <c r="H298" t="s">
        <v>55</v>
      </c>
      <c r="I298" t="s">
        <v>33</v>
      </c>
      <c r="J298" t="s">
        <v>34</v>
      </c>
      <c r="K298" s="1">
        <v>0.15629999999999999</v>
      </c>
      <c r="L298" t="s">
        <v>30</v>
      </c>
      <c r="M298">
        <v>22</v>
      </c>
      <c r="N298" t="s">
        <v>96</v>
      </c>
      <c r="O298" t="s">
        <v>243</v>
      </c>
      <c r="P298">
        <v>336</v>
      </c>
      <c r="Q298">
        <v>100</v>
      </c>
      <c r="R298" t="s">
        <v>36</v>
      </c>
      <c r="S298">
        <v>12</v>
      </c>
      <c r="T298">
        <v>12</v>
      </c>
      <c r="U298" t="s">
        <v>112</v>
      </c>
      <c r="V298" t="s">
        <v>37</v>
      </c>
      <c r="W298">
        <v>450</v>
      </c>
      <c r="X298">
        <v>60</v>
      </c>
      <c r="Y298" t="s">
        <v>38</v>
      </c>
      <c r="Z298">
        <v>20</v>
      </c>
      <c r="AA298" t="s">
        <v>39</v>
      </c>
      <c r="AB298">
        <v>20</v>
      </c>
      <c r="AC298" t="s">
        <v>40</v>
      </c>
    </row>
    <row r="299" spans="1:29" x14ac:dyDescent="0.25">
      <c r="A299" t="str">
        <f t="shared" si="4"/>
        <v>EEM_EG_Pavlovagyrans_raw_002_006_B11.csv</v>
      </c>
      <c r="B299" t="s">
        <v>29</v>
      </c>
      <c r="C299" t="s">
        <v>30</v>
      </c>
      <c r="D299" t="s">
        <v>30</v>
      </c>
      <c r="E299" t="s">
        <v>31</v>
      </c>
      <c r="F299">
        <v>2</v>
      </c>
      <c r="G299">
        <v>6</v>
      </c>
      <c r="H299" t="s">
        <v>57</v>
      </c>
      <c r="I299" t="s">
        <v>33</v>
      </c>
      <c r="J299" t="s">
        <v>34</v>
      </c>
      <c r="K299" s="1">
        <v>0.15890000000000001</v>
      </c>
      <c r="L299" t="s">
        <v>30</v>
      </c>
      <c r="M299">
        <v>22</v>
      </c>
      <c r="N299" t="s">
        <v>58</v>
      </c>
      <c r="O299" t="s">
        <v>243</v>
      </c>
      <c r="P299">
        <v>336</v>
      </c>
      <c r="Q299">
        <v>100</v>
      </c>
      <c r="R299" t="s">
        <v>36</v>
      </c>
      <c r="S299">
        <v>12</v>
      </c>
      <c r="T299">
        <v>12</v>
      </c>
      <c r="U299" t="s">
        <v>112</v>
      </c>
      <c r="V299" t="s">
        <v>37</v>
      </c>
      <c r="W299">
        <v>450</v>
      </c>
      <c r="X299">
        <v>60</v>
      </c>
      <c r="Y299" t="s">
        <v>38</v>
      </c>
      <c r="Z299">
        <v>20</v>
      </c>
      <c r="AA299" t="s">
        <v>39</v>
      </c>
      <c r="AB299">
        <v>20</v>
      </c>
      <c r="AC299" t="s">
        <v>40</v>
      </c>
    </row>
    <row r="300" spans="1:29" x14ac:dyDescent="0.25">
      <c r="A300" t="str">
        <f t="shared" si="4"/>
        <v>EEM_EG_Pavlovagyrans_raw_002_006_C1.csv</v>
      </c>
      <c r="B300" t="s">
        <v>29</v>
      </c>
      <c r="C300" t="s">
        <v>30</v>
      </c>
      <c r="D300" t="s">
        <v>30</v>
      </c>
      <c r="E300" t="s">
        <v>31</v>
      </c>
      <c r="F300">
        <v>2</v>
      </c>
      <c r="G300">
        <v>6</v>
      </c>
      <c r="H300" t="s">
        <v>137</v>
      </c>
      <c r="I300" t="s">
        <v>33</v>
      </c>
      <c r="J300" t="s">
        <v>34</v>
      </c>
      <c r="K300" s="1">
        <v>0.25130000000000002</v>
      </c>
      <c r="L300" t="s">
        <v>30</v>
      </c>
      <c r="M300">
        <v>22</v>
      </c>
      <c r="N300" t="s">
        <v>48</v>
      </c>
      <c r="O300" t="s">
        <v>243</v>
      </c>
      <c r="P300">
        <v>336</v>
      </c>
      <c r="Q300">
        <v>100</v>
      </c>
      <c r="R300" t="s">
        <v>36</v>
      </c>
      <c r="S300">
        <v>12</v>
      </c>
      <c r="T300">
        <v>12</v>
      </c>
      <c r="U300" t="s">
        <v>112</v>
      </c>
      <c r="V300" t="s">
        <v>37</v>
      </c>
      <c r="W300">
        <v>450</v>
      </c>
      <c r="X300">
        <v>60</v>
      </c>
      <c r="Y300" t="s">
        <v>38</v>
      </c>
      <c r="Z300">
        <v>20</v>
      </c>
      <c r="AA300" t="s">
        <v>39</v>
      </c>
      <c r="AB300">
        <v>20</v>
      </c>
      <c r="AC300" t="s">
        <v>40</v>
      </c>
    </row>
    <row r="301" spans="1:29" x14ac:dyDescent="0.25">
      <c r="A301" t="str">
        <f t="shared" si="4"/>
        <v>EEM_EG_Pavlovagyrans_raw_002_006_C2.csv</v>
      </c>
      <c r="B301" t="s">
        <v>29</v>
      </c>
      <c r="C301" t="s">
        <v>30</v>
      </c>
      <c r="D301" t="s">
        <v>30</v>
      </c>
      <c r="E301" t="s">
        <v>31</v>
      </c>
      <c r="F301">
        <v>2</v>
      </c>
      <c r="G301">
        <v>6</v>
      </c>
      <c r="H301" t="s">
        <v>59</v>
      </c>
      <c r="I301" t="s">
        <v>33</v>
      </c>
      <c r="J301" t="s">
        <v>34</v>
      </c>
      <c r="K301" s="1">
        <v>0.15790000000000001</v>
      </c>
      <c r="L301" t="s">
        <v>30</v>
      </c>
      <c r="M301">
        <v>22</v>
      </c>
      <c r="N301" t="s">
        <v>88</v>
      </c>
      <c r="O301" t="s">
        <v>243</v>
      </c>
      <c r="P301">
        <v>336</v>
      </c>
      <c r="Q301">
        <v>100</v>
      </c>
      <c r="R301" t="s">
        <v>36</v>
      </c>
      <c r="S301">
        <v>12</v>
      </c>
      <c r="T301">
        <v>12</v>
      </c>
      <c r="U301" t="s">
        <v>112</v>
      </c>
      <c r="V301" t="s">
        <v>37</v>
      </c>
      <c r="W301">
        <v>450</v>
      </c>
      <c r="X301">
        <v>60</v>
      </c>
      <c r="Y301" t="s">
        <v>38</v>
      </c>
      <c r="Z301">
        <v>20</v>
      </c>
      <c r="AA301" t="s">
        <v>39</v>
      </c>
      <c r="AB301">
        <v>20</v>
      </c>
      <c r="AC301" t="s">
        <v>40</v>
      </c>
    </row>
    <row r="302" spans="1:29" x14ac:dyDescent="0.25">
      <c r="A302" t="str">
        <f t="shared" si="4"/>
        <v>EEM_EG_Pavlovagyrans_raw_002_006_C3.csv</v>
      </c>
      <c r="B302" t="s">
        <v>29</v>
      </c>
      <c r="C302" t="s">
        <v>30</v>
      </c>
      <c r="D302" t="s">
        <v>30</v>
      </c>
      <c r="E302" t="s">
        <v>31</v>
      </c>
      <c r="F302">
        <v>2</v>
      </c>
      <c r="G302">
        <v>6</v>
      </c>
      <c r="H302" t="s">
        <v>60</v>
      </c>
      <c r="I302" t="s">
        <v>33</v>
      </c>
      <c r="J302" t="s">
        <v>34</v>
      </c>
      <c r="K302" s="1">
        <v>0.16869999999999999</v>
      </c>
      <c r="L302" t="s">
        <v>30</v>
      </c>
      <c r="M302">
        <v>22</v>
      </c>
      <c r="N302" t="s">
        <v>50</v>
      </c>
      <c r="O302" t="s">
        <v>243</v>
      </c>
      <c r="P302">
        <v>336</v>
      </c>
      <c r="Q302">
        <v>100</v>
      </c>
      <c r="R302" t="s">
        <v>36</v>
      </c>
      <c r="S302">
        <v>12</v>
      </c>
      <c r="T302">
        <v>12</v>
      </c>
      <c r="U302" t="s">
        <v>112</v>
      </c>
      <c r="V302" t="s">
        <v>37</v>
      </c>
      <c r="W302">
        <v>450</v>
      </c>
      <c r="X302">
        <v>60</v>
      </c>
      <c r="Y302" t="s">
        <v>38</v>
      </c>
      <c r="Z302">
        <v>20</v>
      </c>
      <c r="AA302" t="s">
        <v>39</v>
      </c>
      <c r="AB302">
        <v>20</v>
      </c>
      <c r="AC302" t="s">
        <v>40</v>
      </c>
    </row>
    <row r="303" spans="1:29" x14ac:dyDescent="0.25">
      <c r="A303" t="str">
        <f t="shared" si="4"/>
        <v>EEM_EG_Pavlovagyrans_raw_002_006_C4.csv</v>
      </c>
      <c r="B303" t="s">
        <v>29</v>
      </c>
      <c r="C303" t="s">
        <v>30</v>
      </c>
      <c r="D303" t="s">
        <v>30</v>
      </c>
      <c r="E303" t="s">
        <v>31</v>
      </c>
      <c r="F303">
        <v>2</v>
      </c>
      <c r="G303">
        <v>6</v>
      </c>
      <c r="H303" t="s">
        <v>61</v>
      </c>
      <c r="I303" t="s">
        <v>33</v>
      </c>
      <c r="J303" t="s">
        <v>34</v>
      </c>
      <c r="K303" s="1">
        <v>0.17430000000000001</v>
      </c>
      <c r="L303" t="s">
        <v>30</v>
      </c>
      <c r="M303">
        <v>22</v>
      </c>
      <c r="N303" t="s">
        <v>90</v>
      </c>
      <c r="O303" t="s">
        <v>243</v>
      </c>
      <c r="P303">
        <v>336</v>
      </c>
      <c r="Q303">
        <v>100</v>
      </c>
      <c r="R303" t="s">
        <v>36</v>
      </c>
      <c r="S303">
        <v>12</v>
      </c>
      <c r="T303">
        <v>12</v>
      </c>
      <c r="U303" t="s">
        <v>112</v>
      </c>
      <c r="V303" t="s">
        <v>37</v>
      </c>
      <c r="W303">
        <v>450</v>
      </c>
      <c r="X303">
        <v>60</v>
      </c>
      <c r="Y303" t="s">
        <v>38</v>
      </c>
      <c r="Z303">
        <v>20</v>
      </c>
      <c r="AA303" t="s">
        <v>39</v>
      </c>
      <c r="AB303">
        <v>20</v>
      </c>
      <c r="AC303" t="s">
        <v>40</v>
      </c>
    </row>
    <row r="304" spans="1:29" x14ac:dyDescent="0.25">
      <c r="A304" t="str">
        <f t="shared" si="4"/>
        <v>EEM_EG_Pavlovagyrans_raw_002_006_C5.csv</v>
      </c>
      <c r="B304" t="s">
        <v>29</v>
      </c>
      <c r="C304" t="s">
        <v>30</v>
      </c>
      <c r="D304" t="s">
        <v>30</v>
      </c>
      <c r="E304" t="s">
        <v>31</v>
      </c>
      <c r="F304">
        <v>2</v>
      </c>
      <c r="G304">
        <v>6</v>
      </c>
      <c r="H304" t="s">
        <v>62</v>
      </c>
      <c r="I304" t="s">
        <v>33</v>
      </c>
      <c r="J304" t="s">
        <v>34</v>
      </c>
      <c r="K304" s="1">
        <v>0.20519999999999999</v>
      </c>
      <c r="L304" t="s">
        <v>30</v>
      </c>
      <c r="M304">
        <v>22</v>
      </c>
      <c r="N304" t="s">
        <v>52</v>
      </c>
      <c r="O304" t="s">
        <v>243</v>
      </c>
      <c r="P304">
        <v>336</v>
      </c>
      <c r="Q304">
        <v>100</v>
      </c>
      <c r="R304" t="s">
        <v>36</v>
      </c>
      <c r="S304">
        <v>12</v>
      </c>
      <c r="T304">
        <v>12</v>
      </c>
      <c r="U304" t="s">
        <v>112</v>
      </c>
      <c r="V304" t="s">
        <v>37</v>
      </c>
      <c r="W304">
        <v>450</v>
      </c>
      <c r="X304">
        <v>60</v>
      </c>
      <c r="Y304" t="s">
        <v>38</v>
      </c>
      <c r="Z304">
        <v>20</v>
      </c>
      <c r="AA304" t="s">
        <v>39</v>
      </c>
      <c r="AB304">
        <v>20</v>
      </c>
      <c r="AC304" t="s">
        <v>40</v>
      </c>
    </row>
    <row r="305" spans="1:29" x14ac:dyDescent="0.25">
      <c r="A305" t="str">
        <f t="shared" si="4"/>
        <v>EEM_EG_Pavlovagyrans_raw_002_006_C6.csv</v>
      </c>
      <c r="B305" t="s">
        <v>29</v>
      </c>
      <c r="C305" t="s">
        <v>30</v>
      </c>
      <c r="D305" t="s">
        <v>30</v>
      </c>
      <c r="E305" t="s">
        <v>31</v>
      </c>
      <c r="F305">
        <v>2</v>
      </c>
      <c r="G305">
        <v>6</v>
      </c>
      <c r="H305" t="s">
        <v>63</v>
      </c>
      <c r="I305" t="s">
        <v>33</v>
      </c>
      <c r="J305" t="s">
        <v>34</v>
      </c>
      <c r="K305" s="1">
        <v>0.2228</v>
      </c>
      <c r="L305" t="s">
        <v>30</v>
      </c>
      <c r="M305">
        <v>22</v>
      </c>
      <c r="N305" t="s">
        <v>92</v>
      </c>
      <c r="O305" t="s">
        <v>243</v>
      </c>
      <c r="P305">
        <v>336</v>
      </c>
      <c r="Q305">
        <v>100</v>
      </c>
      <c r="R305" t="s">
        <v>36</v>
      </c>
      <c r="S305">
        <v>12</v>
      </c>
      <c r="T305">
        <v>12</v>
      </c>
      <c r="U305" t="s">
        <v>112</v>
      </c>
      <c r="V305" t="s">
        <v>37</v>
      </c>
      <c r="W305">
        <v>450</v>
      </c>
      <c r="X305">
        <v>60</v>
      </c>
      <c r="Y305" t="s">
        <v>38</v>
      </c>
      <c r="Z305">
        <v>20</v>
      </c>
      <c r="AA305" t="s">
        <v>39</v>
      </c>
      <c r="AB305">
        <v>20</v>
      </c>
      <c r="AC305" t="s">
        <v>40</v>
      </c>
    </row>
    <row r="306" spans="1:29" x14ac:dyDescent="0.25">
      <c r="A306" t="str">
        <f t="shared" si="4"/>
        <v>EEM_EG_Pavlovagyrans_raw_002_006_C7.csv</v>
      </c>
      <c r="B306" t="s">
        <v>29</v>
      </c>
      <c r="C306" t="s">
        <v>30</v>
      </c>
      <c r="D306" t="s">
        <v>30</v>
      </c>
      <c r="E306" t="s">
        <v>31</v>
      </c>
      <c r="F306">
        <v>2</v>
      </c>
      <c r="G306">
        <v>6</v>
      </c>
      <c r="H306" t="s">
        <v>64</v>
      </c>
      <c r="I306" t="s">
        <v>33</v>
      </c>
      <c r="J306" t="s">
        <v>34</v>
      </c>
      <c r="K306" s="1">
        <v>0.25800000000000001</v>
      </c>
      <c r="L306" t="s">
        <v>30</v>
      </c>
      <c r="M306">
        <v>22</v>
      </c>
      <c r="N306" t="s">
        <v>54</v>
      </c>
      <c r="O306" t="s">
        <v>243</v>
      </c>
      <c r="P306">
        <v>336</v>
      </c>
      <c r="Q306">
        <v>100</v>
      </c>
      <c r="R306" t="s">
        <v>36</v>
      </c>
      <c r="S306">
        <v>12</v>
      </c>
      <c r="T306">
        <v>12</v>
      </c>
      <c r="U306" t="s">
        <v>112</v>
      </c>
      <c r="V306" t="s">
        <v>37</v>
      </c>
      <c r="W306">
        <v>450</v>
      </c>
      <c r="X306">
        <v>60</v>
      </c>
      <c r="Y306" t="s">
        <v>38</v>
      </c>
      <c r="Z306">
        <v>20</v>
      </c>
      <c r="AA306" t="s">
        <v>39</v>
      </c>
      <c r="AB306">
        <v>20</v>
      </c>
      <c r="AC306" t="s">
        <v>40</v>
      </c>
    </row>
    <row r="307" spans="1:29" x14ac:dyDescent="0.25">
      <c r="A307" t="str">
        <f t="shared" si="4"/>
        <v>EEM_EG_Pavlovagyrans_raw_002_006_C8.csv</v>
      </c>
      <c r="B307" t="s">
        <v>29</v>
      </c>
      <c r="C307" t="s">
        <v>30</v>
      </c>
      <c r="D307" t="s">
        <v>30</v>
      </c>
      <c r="E307" t="s">
        <v>31</v>
      </c>
      <c r="F307">
        <v>2</v>
      </c>
      <c r="G307">
        <v>6</v>
      </c>
      <c r="H307" t="s">
        <v>65</v>
      </c>
      <c r="I307" t="s">
        <v>33</v>
      </c>
      <c r="J307" t="s">
        <v>34</v>
      </c>
      <c r="K307" s="1">
        <v>0.2165</v>
      </c>
      <c r="L307" t="s">
        <v>30</v>
      </c>
      <c r="M307">
        <v>22</v>
      </c>
      <c r="N307" t="s">
        <v>94</v>
      </c>
      <c r="O307" t="s">
        <v>243</v>
      </c>
      <c r="P307">
        <v>336</v>
      </c>
      <c r="Q307">
        <v>100</v>
      </c>
      <c r="R307" t="s">
        <v>36</v>
      </c>
      <c r="S307">
        <v>12</v>
      </c>
      <c r="T307">
        <v>12</v>
      </c>
      <c r="U307" t="s">
        <v>112</v>
      </c>
      <c r="V307" t="s">
        <v>37</v>
      </c>
      <c r="W307">
        <v>450</v>
      </c>
      <c r="X307">
        <v>60</v>
      </c>
      <c r="Y307" t="s">
        <v>38</v>
      </c>
      <c r="Z307">
        <v>20</v>
      </c>
      <c r="AA307" t="s">
        <v>39</v>
      </c>
      <c r="AB307">
        <v>20</v>
      </c>
      <c r="AC307" t="s">
        <v>40</v>
      </c>
    </row>
    <row r="308" spans="1:29" x14ac:dyDescent="0.25">
      <c r="A308" t="str">
        <f t="shared" si="4"/>
        <v>EEM_EG_Pavlovagyrans_raw_002_006_C9.csv</v>
      </c>
      <c r="B308" t="s">
        <v>29</v>
      </c>
      <c r="C308" t="s">
        <v>30</v>
      </c>
      <c r="D308" t="s">
        <v>30</v>
      </c>
      <c r="E308" t="s">
        <v>31</v>
      </c>
      <c r="F308">
        <v>2</v>
      </c>
      <c r="G308">
        <v>6</v>
      </c>
      <c r="H308" t="s">
        <v>66</v>
      </c>
      <c r="I308" t="s">
        <v>33</v>
      </c>
      <c r="J308" t="s">
        <v>34</v>
      </c>
      <c r="K308" s="1">
        <v>0.26390000000000002</v>
      </c>
      <c r="L308" t="s">
        <v>30</v>
      </c>
      <c r="M308">
        <v>22</v>
      </c>
      <c r="N308" t="s">
        <v>56</v>
      </c>
      <c r="O308" t="s">
        <v>243</v>
      </c>
      <c r="P308">
        <v>336</v>
      </c>
      <c r="Q308">
        <v>100</v>
      </c>
      <c r="R308" t="s">
        <v>36</v>
      </c>
      <c r="S308">
        <v>12</v>
      </c>
      <c r="T308">
        <v>12</v>
      </c>
      <c r="U308" t="s">
        <v>112</v>
      </c>
      <c r="V308" t="s">
        <v>37</v>
      </c>
      <c r="W308">
        <v>450</v>
      </c>
      <c r="X308">
        <v>60</v>
      </c>
      <c r="Y308" t="s">
        <v>38</v>
      </c>
      <c r="Z308">
        <v>20</v>
      </c>
      <c r="AA308" t="s">
        <v>39</v>
      </c>
      <c r="AB308">
        <v>20</v>
      </c>
      <c r="AC308" t="s">
        <v>40</v>
      </c>
    </row>
    <row r="309" spans="1:29" x14ac:dyDescent="0.25">
      <c r="A309" t="str">
        <f t="shared" si="4"/>
        <v>EEM_EG_Pavlovagyrans_raw_002_006_C10.csv</v>
      </c>
      <c r="B309" t="s">
        <v>29</v>
      </c>
      <c r="C309" t="s">
        <v>30</v>
      </c>
      <c r="D309" t="s">
        <v>30</v>
      </c>
      <c r="E309" t="s">
        <v>31</v>
      </c>
      <c r="F309">
        <v>2</v>
      </c>
      <c r="G309">
        <v>6</v>
      </c>
      <c r="H309" t="s">
        <v>67</v>
      </c>
      <c r="I309" t="s">
        <v>33</v>
      </c>
      <c r="J309" t="s">
        <v>34</v>
      </c>
      <c r="K309" s="1">
        <v>0.16500000000000001</v>
      </c>
      <c r="L309" t="s">
        <v>30</v>
      </c>
      <c r="M309">
        <v>22</v>
      </c>
      <c r="N309" t="s">
        <v>96</v>
      </c>
      <c r="O309" t="s">
        <v>243</v>
      </c>
      <c r="P309">
        <v>336</v>
      </c>
      <c r="Q309">
        <v>100</v>
      </c>
      <c r="R309" t="s">
        <v>36</v>
      </c>
      <c r="S309">
        <v>12</v>
      </c>
      <c r="T309">
        <v>12</v>
      </c>
      <c r="U309" t="s">
        <v>112</v>
      </c>
      <c r="V309" t="s">
        <v>37</v>
      </c>
      <c r="W309">
        <v>450</v>
      </c>
      <c r="X309">
        <v>60</v>
      </c>
      <c r="Y309" t="s">
        <v>38</v>
      </c>
      <c r="Z309">
        <v>20</v>
      </c>
      <c r="AA309" t="s">
        <v>39</v>
      </c>
      <c r="AB309">
        <v>20</v>
      </c>
      <c r="AC309" t="s">
        <v>40</v>
      </c>
    </row>
    <row r="310" spans="1:29" x14ac:dyDescent="0.25">
      <c r="A310" t="str">
        <f t="shared" si="4"/>
        <v>EEM_EG_Pavlovagyrans_raw_002_006_C11.csv</v>
      </c>
      <c r="B310" t="s">
        <v>29</v>
      </c>
      <c r="C310" t="s">
        <v>30</v>
      </c>
      <c r="D310" t="s">
        <v>30</v>
      </c>
      <c r="E310" t="s">
        <v>31</v>
      </c>
      <c r="F310">
        <v>2</v>
      </c>
      <c r="G310">
        <v>6</v>
      </c>
      <c r="H310" t="s">
        <v>68</v>
      </c>
      <c r="I310" t="s">
        <v>33</v>
      </c>
      <c r="J310" t="s">
        <v>34</v>
      </c>
      <c r="K310" s="1">
        <v>0.1565</v>
      </c>
      <c r="L310" t="s">
        <v>30</v>
      </c>
      <c r="M310">
        <v>22</v>
      </c>
      <c r="N310" t="s">
        <v>58</v>
      </c>
      <c r="O310" t="s">
        <v>243</v>
      </c>
      <c r="P310">
        <v>336</v>
      </c>
      <c r="Q310">
        <v>100</v>
      </c>
      <c r="R310" t="s">
        <v>36</v>
      </c>
      <c r="S310">
        <v>12</v>
      </c>
      <c r="T310">
        <v>12</v>
      </c>
      <c r="U310" t="s">
        <v>112</v>
      </c>
      <c r="V310" t="s">
        <v>37</v>
      </c>
      <c r="W310">
        <v>450</v>
      </c>
      <c r="X310">
        <v>60</v>
      </c>
      <c r="Y310" t="s">
        <v>38</v>
      </c>
      <c r="Z310">
        <v>20</v>
      </c>
      <c r="AA310" t="s">
        <v>39</v>
      </c>
      <c r="AB310">
        <v>20</v>
      </c>
      <c r="AC310" t="s">
        <v>40</v>
      </c>
    </row>
    <row r="311" spans="1:29" x14ac:dyDescent="0.25">
      <c r="A311" t="str">
        <f t="shared" si="4"/>
        <v>EEM_EG_Pavlovagyrans_raw_002_006_D1.csv</v>
      </c>
      <c r="B311" t="s">
        <v>29</v>
      </c>
      <c r="C311" t="s">
        <v>30</v>
      </c>
      <c r="D311" t="s">
        <v>30</v>
      </c>
      <c r="E311" t="s">
        <v>31</v>
      </c>
      <c r="F311">
        <v>2</v>
      </c>
      <c r="G311">
        <v>6</v>
      </c>
      <c r="H311" t="s">
        <v>146</v>
      </c>
      <c r="I311" t="s">
        <v>33</v>
      </c>
      <c r="J311" t="s">
        <v>34</v>
      </c>
      <c r="K311" s="1">
        <v>0.15570000000000001</v>
      </c>
      <c r="L311" t="s">
        <v>30</v>
      </c>
      <c r="M311">
        <v>22</v>
      </c>
      <c r="N311" t="s">
        <v>48</v>
      </c>
      <c r="O311" t="s">
        <v>243</v>
      </c>
      <c r="P311">
        <v>336</v>
      </c>
      <c r="Q311">
        <v>100</v>
      </c>
      <c r="R311" t="s">
        <v>36</v>
      </c>
      <c r="S311">
        <v>12</v>
      </c>
      <c r="T311">
        <v>12</v>
      </c>
      <c r="U311" t="s">
        <v>112</v>
      </c>
      <c r="V311" t="s">
        <v>37</v>
      </c>
      <c r="W311">
        <v>450</v>
      </c>
      <c r="X311">
        <v>60</v>
      </c>
      <c r="Y311" t="s">
        <v>38</v>
      </c>
      <c r="Z311">
        <v>20</v>
      </c>
      <c r="AA311" t="s">
        <v>39</v>
      </c>
      <c r="AB311">
        <v>20</v>
      </c>
      <c r="AC311" t="s">
        <v>40</v>
      </c>
    </row>
    <row r="312" spans="1:29" x14ac:dyDescent="0.25">
      <c r="A312" t="str">
        <f t="shared" si="4"/>
        <v>EEM_EG_Pavlovagyrans_raw_002_006_D2.csv</v>
      </c>
      <c r="B312" t="s">
        <v>29</v>
      </c>
      <c r="C312" t="s">
        <v>30</v>
      </c>
      <c r="D312" t="s">
        <v>30</v>
      </c>
      <c r="E312" t="s">
        <v>31</v>
      </c>
      <c r="F312">
        <v>2</v>
      </c>
      <c r="G312">
        <v>6</v>
      </c>
      <c r="H312" t="s">
        <v>69</v>
      </c>
      <c r="I312" t="s">
        <v>33</v>
      </c>
      <c r="J312" t="s">
        <v>34</v>
      </c>
      <c r="K312" s="1">
        <v>0.1542</v>
      </c>
      <c r="L312" t="s">
        <v>30</v>
      </c>
      <c r="M312">
        <v>22</v>
      </c>
      <c r="N312" t="s">
        <v>88</v>
      </c>
      <c r="O312" t="s">
        <v>243</v>
      </c>
      <c r="P312">
        <v>336</v>
      </c>
      <c r="Q312">
        <v>100</v>
      </c>
      <c r="R312" t="s">
        <v>36</v>
      </c>
      <c r="S312">
        <v>12</v>
      </c>
      <c r="T312">
        <v>12</v>
      </c>
      <c r="U312" t="s">
        <v>112</v>
      </c>
      <c r="V312" t="s">
        <v>37</v>
      </c>
      <c r="W312">
        <v>450</v>
      </c>
      <c r="X312">
        <v>60</v>
      </c>
      <c r="Y312" t="s">
        <v>38</v>
      </c>
      <c r="Z312">
        <v>20</v>
      </c>
      <c r="AA312" t="s">
        <v>39</v>
      </c>
      <c r="AB312">
        <v>20</v>
      </c>
      <c r="AC312" t="s">
        <v>40</v>
      </c>
    </row>
    <row r="313" spans="1:29" x14ac:dyDescent="0.25">
      <c r="A313" t="str">
        <f t="shared" si="4"/>
        <v>EEM_EG_Pavlovagyrans_raw_002_006_D3.csv</v>
      </c>
      <c r="B313" t="s">
        <v>29</v>
      </c>
      <c r="C313" t="s">
        <v>30</v>
      </c>
      <c r="D313" t="s">
        <v>30</v>
      </c>
      <c r="E313" t="s">
        <v>31</v>
      </c>
      <c r="F313">
        <v>2</v>
      </c>
      <c r="G313">
        <v>6</v>
      </c>
      <c r="H313" t="s">
        <v>70</v>
      </c>
      <c r="I313" t="s">
        <v>33</v>
      </c>
      <c r="J313" t="s">
        <v>34</v>
      </c>
      <c r="K313" s="1">
        <v>0.15040000000000001</v>
      </c>
      <c r="L313" t="s">
        <v>30</v>
      </c>
      <c r="M313">
        <v>22</v>
      </c>
      <c r="N313" t="s">
        <v>50</v>
      </c>
      <c r="O313" t="s">
        <v>243</v>
      </c>
      <c r="P313">
        <v>336</v>
      </c>
      <c r="Q313">
        <v>100</v>
      </c>
      <c r="R313" t="s">
        <v>36</v>
      </c>
      <c r="S313">
        <v>12</v>
      </c>
      <c r="T313">
        <v>12</v>
      </c>
      <c r="U313" t="s">
        <v>112</v>
      </c>
      <c r="V313" t="s">
        <v>37</v>
      </c>
      <c r="W313">
        <v>450</v>
      </c>
      <c r="X313">
        <v>60</v>
      </c>
      <c r="Y313" t="s">
        <v>38</v>
      </c>
      <c r="Z313">
        <v>20</v>
      </c>
      <c r="AA313" t="s">
        <v>39</v>
      </c>
      <c r="AB313">
        <v>20</v>
      </c>
      <c r="AC313" t="s">
        <v>40</v>
      </c>
    </row>
    <row r="314" spans="1:29" x14ac:dyDescent="0.25">
      <c r="A314" t="str">
        <f t="shared" si="4"/>
        <v>EEM_EG_Pavlovagyrans_raw_002_006_D4.csv</v>
      </c>
      <c r="B314" t="s">
        <v>29</v>
      </c>
      <c r="C314" t="s">
        <v>30</v>
      </c>
      <c r="D314" t="s">
        <v>30</v>
      </c>
      <c r="E314" t="s">
        <v>31</v>
      </c>
      <c r="F314">
        <v>2</v>
      </c>
      <c r="G314">
        <v>6</v>
      </c>
      <c r="H314" t="s">
        <v>71</v>
      </c>
      <c r="I314" t="s">
        <v>33</v>
      </c>
      <c r="J314" t="s">
        <v>34</v>
      </c>
      <c r="K314" s="1">
        <v>0.17380000000000001</v>
      </c>
      <c r="L314" t="s">
        <v>30</v>
      </c>
      <c r="M314">
        <v>22</v>
      </c>
      <c r="N314" t="s">
        <v>90</v>
      </c>
      <c r="O314" t="s">
        <v>243</v>
      </c>
      <c r="P314">
        <v>336</v>
      </c>
      <c r="Q314">
        <v>100</v>
      </c>
      <c r="R314" t="s">
        <v>36</v>
      </c>
      <c r="S314">
        <v>12</v>
      </c>
      <c r="T314">
        <v>12</v>
      </c>
      <c r="U314" t="s">
        <v>112</v>
      </c>
      <c r="V314" t="s">
        <v>37</v>
      </c>
      <c r="W314">
        <v>450</v>
      </c>
      <c r="X314">
        <v>60</v>
      </c>
      <c r="Y314" t="s">
        <v>38</v>
      </c>
      <c r="Z314">
        <v>20</v>
      </c>
      <c r="AA314" t="s">
        <v>39</v>
      </c>
      <c r="AB314">
        <v>20</v>
      </c>
      <c r="AC314" t="s">
        <v>40</v>
      </c>
    </row>
    <row r="315" spans="1:29" x14ac:dyDescent="0.25">
      <c r="A315" t="str">
        <f t="shared" si="4"/>
        <v>EEM_EG_Pavlovagyrans_raw_002_006_D5.csv</v>
      </c>
      <c r="B315" t="s">
        <v>29</v>
      </c>
      <c r="C315" t="s">
        <v>30</v>
      </c>
      <c r="D315" t="s">
        <v>30</v>
      </c>
      <c r="E315" t="s">
        <v>31</v>
      </c>
      <c r="F315">
        <v>2</v>
      </c>
      <c r="G315">
        <v>6</v>
      </c>
      <c r="H315" t="s">
        <v>72</v>
      </c>
      <c r="I315" t="s">
        <v>33</v>
      </c>
      <c r="J315" t="s">
        <v>34</v>
      </c>
      <c r="K315" s="1">
        <v>0.155</v>
      </c>
      <c r="L315" t="s">
        <v>30</v>
      </c>
      <c r="M315">
        <v>22</v>
      </c>
      <c r="N315" t="s">
        <v>52</v>
      </c>
      <c r="O315" t="s">
        <v>243</v>
      </c>
      <c r="P315">
        <v>336</v>
      </c>
      <c r="Q315">
        <v>100</v>
      </c>
      <c r="R315" t="s">
        <v>36</v>
      </c>
      <c r="S315">
        <v>12</v>
      </c>
      <c r="T315">
        <v>12</v>
      </c>
      <c r="U315" t="s">
        <v>112</v>
      </c>
      <c r="V315" t="s">
        <v>37</v>
      </c>
      <c r="W315">
        <v>450</v>
      </c>
      <c r="X315">
        <v>60</v>
      </c>
      <c r="Y315" t="s">
        <v>38</v>
      </c>
      <c r="Z315">
        <v>20</v>
      </c>
      <c r="AA315" t="s">
        <v>39</v>
      </c>
      <c r="AB315">
        <v>20</v>
      </c>
      <c r="AC315" t="s">
        <v>40</v>
      </c>
    </row>
    <row r="316" spans="1:29" x14ac:dyDescent="0.25">
      <c r="A316" t="str">
        <f t="shared" si="4"/>
        <v>EEM_EG_Pavlovagyrans_raw_002_006_D6.csv</v>
      </c>
      <c r="B316" t="s">
        <v>29</v>
      </c>
      <c r="C316" t="s">
        <v>30</v>
      </c>
      <c r="D316" t="s">
        <v>30</v>
      </c>
      <c r="E316" t="s">
        <v>31</v>
      </c>
      <c r="F316">
        <v>2</v>
      </c>
      <c r="G316">
        <v>6</v>
      </c>
      <c r="H316" t="s">
        <v>73</v>
      </c>
      <c r="I316" t="s">
        <v>33</v>
      </c>
      <c r="J316" t="s">
        <v>34</v>
      </c>
      <c r="K316" s="1">
        <v>0.157</v>
      </c>
      <c r="L316" t="s">
        <v>30</v>
      </c>
      <c r="M316">
        <v>22</v>
      </c>
      <c r="N316" t="s">
        <v>92</v>
      </c>
      <c r="O316" t="s">
        <v>243</v>
      </c>
      <c r="P316">
        <v>336</v>
      </c>
      <c r="Q316">
        <v>100</v>
      </c>
      <c r="R316" t="s">
        <v>36</v>
      </c>
      <c r="S316">
        <v>12</v>
      </c>
      <c r="T316">
        <v>12</v>
      </c>
      <c r="U316" t="s">
        <v>112</v>
      </c>
      <c r="V316" t="s">
        <v>37</v>
      </c>
      <c r="W316">
        <v>450</v>
      </c>
      <c r="X316">
        <v>60</v>
      </c>
      <c r="Y316" t="s">
        <v>38</v>
      </c>
      <c r="Z316">
        <v>20</v>
      </c>
      <c r="AA316" t="s">
        <v>39</v>
      </c>
      <c r="AB316">
        <v>20</v>
      </c>
      <c r="AC316" t="s">
        <v>40</v>
      </c>
    </row>
    <row r="317" spans="1:29" x14ac:dyDescent="0.25">
      <c r="A317" t="str">
        <f t="shared" si="4"/>
        <v>EEM_EG_Pavlovagyrans_raw_002_006_D7.csv</v>
      </c>
      <c r="B317" t="s">
        <v>29</v>
      </c>
      <c r="C317" t="s">
        <v>30</v>
      </c>
      <c r="D317" t="s">
        <v>30</v>
      </c>
      <c r="E317" t="s">
        <v>31</v>
      </c>
      <c r="F317">
        <v>2</v>
      </c>
      <c r="G317">
        <v>6</v>
      </c>
      <c r="H317" t="s">
        <v>74</v>
      </c>
      <c r="I317" t="s">
        <v>33</v>
      </c>
      <c r="J317" t="s">
        <v>34</v>
      </c>
      <c r="K317" s="1">
        <v>0.1832</v>
      </c>
      <c r="L317" t="s">
        <v>30</v>
      </c>
      <c r="M317">
        <v>22</v>
      </c>
      <c r="N317" t="s">
        <v>54</v>
      </c>
      <c r="O317" t="s">
        <v>243</v>
      </c>
      <c r="P317">
        <v>336</v>
      </c>
      <c r="Q317">
        <v>100</v>
      </c>
      <c r="R317" t="s">
        <v>36</v>
      </c>
      <c r="S317">
        <v>12</v>
      </c>
      <c r="T317">
        <v>12</v>
      </c>
      <c r="U317" t="s">
        <v>112</v>
      </c>
      <c r="V317" t="s">
        <v>37</v>
      </c>
      <c r="W317">
        <v>450</v>
      </c>
      <c r="X317">
        <v>60</v>
      </c>
      <c r="Y317" t="s">
        <v>38</v>
      </c>
      <c r="Z317">
        <v>20</v>
      </c>
      <c r="AA317" t="s">
        <v>39</v>
      </c>
      <c r="AB317">
        <v>20</v>
      </c>
      <c r="AC317" t="s">
        <v>40</v>
      </c>
    </row>
    <row r="318" spans="1:29" x14ac:dyDescent="0.25">
      <c r="A318" t="str">
        <f t="shared" si="4"/>
        <v>EEM_EG_Pavlovagyrans_raw_002_006_D8.csv</v>
      </c>
      <c r="B318" t="s">
        <v>29</v>
      </c>
      <c r="C318" t="s">
        <v>30</v>
      </c>
      <c r="D318" t="s">
        <v>30</v>
      </c>
      <c r="E318" t="s">
        <v>31</v>
      </c>
      <c r="F318">
        <v>2</v>
      </c>
      <c r="G318">
        <v>6</v>
      </c>
      <c r="H318" t="s">
        <v>75</v>
      </c>
      <c r="I318" t="s">
        <v>33</v>
      </c>
      <c r="J318" t="s">
        <v>34</v>
      </c>
      <c r="K318" s="1">
        <v>0.18759999999999999</v>
      </c>
      <c r="L318" t="s">
        <v>30</v>
      </c>
      <c r="M318">
        <v>22</v>
      </c>
      <c r="N318" t="s">
        <v>94</v>
      </c>
      <c r="O318" t="s">
        <v>243</v>
      </c>
      <c r="P318">
        <v>336</v>
      </c>
      <c r="Q318">
        <v>100</v>
      </c>
      <c r="R318" t="s">
        <v>36</v>
      </c>
      <c r="S318">
        <v>12</v>
      </c>
      <c r="T318">
        <v>12</v>
      </c>
      <c r="U318" t="s">
        <v>112</v>
      </c>
      <c r="V318" t="s">
        <v>37</v>
      </c>
      <c r="W318">
        <v>450</v>
      </c>
      <c r="X318">
        <v>60</v>
      </c>
      <c r="Y318" t="s">
        <v>38</v>
      </c>
      <c r="Z318">
        <v>20</v>
      </c>
      <c r="AA318" t="s">
        <v>39</v>
      </c>
      <c r="AB318">
        <v>20</v>
      </c>
      <c r="AC318" t="s">
        <v>40</v>
      </c>
    </row>
    <row r="319" spans="1:29" x14ac:dyDescent="0.25">
      <c r="A319" t="str">
        <f t="shared" si="4"/>
        <v>EEM_EG_Pavlovagyrans_raw_002_006_D9.csv</v>
      </c>
      <c r="B319" t="s">
        <v>29</v>
      </c>
      <c r="C319" t="s">
        <v>30</v>
      </c>
      <c r="D319" t="s">
        <v>30</v>
      </c>
      <c r="E319" t="s">
        <v>31</v>
      </c>
      <c r="F319">
        <v>2</v>
      </c>
      <c r="G319">
        <v>6</v>
      </c>
      <c r="H319" t="s">
        <v>76</v>
      </c>
      <c r="I319" t="s">
        <v>33</v>
      </c>
      <c r="J319" t="s">
        <v>34</v>
      </c>
      <c r="K319" s="1">
        <v>0.27310000000000001</v>
      </c>
      <c r="L319" t="s">
        <v>30</v>
      </c>
      <c r="M319">
        <v>22</v>
      </c>
      <c r="N319" t="s">
        <v>56</v>
      </c>
      <c r="O319" t="s">
        <v>243</v>
      </c>
      <c r="P319">
        <v>336</v>
      </c>
      <c r="Q319">
        <v>100</v>
      </c>
      <c r="R319" t="s">
        <v>36</v>
      </c>
      <c r="S319">
        <v>12</v>
      </c>
      <c r="T319">
        <v>12</v>
      </c>
      <c r="U319" t="s">
        <v>112</v>
      </c>
      <c r="V319" t="s">
        <v>37</v>
      </c>
      <c r="W319">
        <v>450</v>
      </c>
      <c r="X319">
        <v>60</v>
      </c>
      <c r="Y319" t="s">
        <v>38</v>
      </c>
      <c r="Z319">
        <v>20</v>
      </c>
      <c r="AA319" t="s">
        <v>39</v>
      </c>
      <c r="AB319">
        <v>20</v>
      </c>
      <c r="AC319" t="s">
        <v>40</v>
      </c>
    </row>
    <row r="320" spans="1:29" x14ac:dyDescent="0.25">
      <c r="A320" t="str">
        <f t="shared" si="4"/>
        <v>EEM_EG_Pavlovagyrans_raw_002_006_D10.csv</v>
      </c>
      <c r="B320" t="s">
        <v>29</v>
      </c>
      <c r="C320" t="s">
        <v>30</v>
      </c>
      <c r="D320" t="s">
        <v>30</v>
      </c>
      <c r="E320" t="s">
        <v>31</v>
      </c>
      <c r="F320">
        <v>2</v>
      </c>
      <c r="G320">
        <v>6</v>
      </c>
      <c r="H320" t="s">
        <v>77</v>
      </c>
      <c r="I320" t="s">
        <v>33</v>
      </c>
      <c r="J320" t="s">
        <v>34</v>
      </c>
      <c r="K320" s="1">
        <v>0.15329999999999999</v>
      </c>
      <c r="L320" t="s">
        <v>30</v>
      </c>
      <c r="M320">
        <v>22</v>
      </c>
      <c r="N320" t="s">
        <v>96</v>
      </c>
      <c r="O320" t="s">
        <v>243</v>
      </c>
      <c r="P320">
        <v>336</v>
      </c>
      <c r="Q320">
        <v>100</v>
      </c>
      <c r="R320" t="s">
        <v>36</v>
      </c>
      <c r="S320">
        <v>12</v>
      </c>
      <c r="T320">
        <v>12</v>
      </c>
      <c r="U320" t="s">
        <v>112</v>
      </c>
      <c r="V320" t="s">
        <v>37</v>
      </c>
      <c r="W320">
        <v>450</v>
      </c>
      <c r="X320">
        <v>60</v>
      </c>
      <c r="Y320" t="s">
        <v>38</v>
      </c>
      <c r="Z320">
        <v>20</v>
      </c>
      <c r="AA320" t="s">
        <v>39</v>
      </c>
      <c r="AB320">
        <v>20</v>
      </c>
      <c r="AC320" t="s">
        <v>40</v>
      </c>
    </row>
    <row r="321" spans="1:29" x14ac:dyDescent="0.25">
      <c r="A321" t="str">
        <f t="shared" si="4"/>
        <v>EEM_EG_Pavlovagyrans_raw_002_006_D11.csv</v>
      </c>
      <c r="B321" t="s">
        <v>29</v>
      </c>
      <c r="C321" t="s">
        <v>30</v>
      </c>
      <c r="D321" t="s">
        <v>30</v>
      </c>
      <c r="E321" t="s">
        <v>31</v>
      </c>
      <c r="F321">
        <v>2</v>
      </c>
      <c r="G321">
        <v>6</v>
      </c>
      <c r="H321" t="s">
        <v>78</v>
      </c>
      <c r="I321" t="s">
        <v>33</v>
      </c>
      <c r="J321" t="s">
        <v>34</v>
      </c>
      <c r="K321" s="1">
        <v>0.16819999999999999</v>
      </c>
      <c r="L321" t="s">
        <v>30</v>
      </c>
      <c r="M321">
        <v>22</v>
      </c>
      <c r="N321" t="s">
        <v>58</v>
      </c>
      <c r="O321" t="s">
        <v>243</v>
      </c>
      <c r="P321">
        <v>336</v>
      </c>
      <c r="Q321">
        <v>100</v>
      </c>
      <c r="R321" t="s">
        <v>36</v>
      </c>
      <c r="S321">
        <v>12</v>
      </c>
      <c r="T321">
        <v>12</v>
      </c>
      <c r="U321" t="s">
        <v>112</v>
      </c>
      <c r="V321" t="s">
        <v>37</v>
      </c>
      <c r="W321">
        <v>450</v>
      </c>
      <c r="X321">
        <v>60</v>
      </c>
      <c r="Y321" t="s">
        <v>38</v>
      </c>
      <c r="Z321">
        <v>20</v>
      </c>
      <c r="AA321" t="s">
        <v>39</v>
      </c>
      <c r="AB321">
        <v>20</v>
      </c>
      <c r="AC321" t="s">
        <v>40</v>
      </c>
    </row>
    <row r="322" spans="1:29" x14ac:dyDescent="0.25">
      <c r="A322" t="str">
        <f t="shared" si="4"/>
        <v>EEM_EG_Pavlovagyrans_raw_002_006_E1.csv</v>
      </c>
      <c r="B322" t="s">
        <v>29</v>
      </c>
      <c r="C322" t="s">
        <v>30</v>
      </c>
      <c r="D322" t="s">
        <v>30</v>
      </c>
      <c r="E322" t="s">
        <v>31</v>
      </c>
      <c r="F322">
        <v>2</v>
      </c>
      <c r="G322">
        <v>6</v>
      </c>
      <c r="H322" t="s">
        <v>155</v>
      </c>
      <c r="I322" t="s">
        <v>33</v>
      </c>
      <c r="J322" t="s">
        <v>34</v>
      </c>
      <c r="K322" s="1">
        <v>0.25800000000000001</v>
      </c>
      <c r="L322" t="s">
        <v>30</v>
      </c>
      <c r="M322">
        <v>22</v>
      </c>
      <c r="N322" t="s">
        <v>48</v>
      </c>
      <c r="O322" t="s">
        <v>243</v>
      </c>
      <c r="P322">
        <v>336</v>
      </c>
      <c r="Q322">
        <v>100</v>
      </c>
      <c r="R322" t="s">
        <v>36</v>
      </c>
      <c r="S322">
        <v>12</v>
      </c>
      <c r="T322">
        <v>12</v>
      </c>
      <c r="U322" t="s">
        <v>112</v>
      </c>
      <c r="V322" t="s">
        <v>37</v>
      </c>
      <c r="W322">
        <v>450</v>
      </c>
      <c r="X322">
        <v>60</v>
      </c>
      <c r="Y322" t="s">
        <v>38</v>
      </c>
      <c r="Z322">
        <v>20</v>
      </c>
      <c r="AA322" t="s">
        <v>39</v>
      </c>
      <c r="AB322">
        <v>20</v>
      </c>
      <c r="AC322" t="s">
        <v>40</v>
      </c>
    </row>
    <row r="323" spans="1:29" x14ac:dyDescent="0.25">
      <c r="A323" t="str">
        <f t="shared" si="4"/>
        <v>EEM_EG_Pavlovagyrans_raw_002_006_E2.csv</v>
      </c>
      <c r="B323" t="s">
        <v>29</v>
      </c>
      <c r="C323" t="s">
        <v>30</v>
      </c>
      <c r="D323" t="s">
        <v>30</v>
      </c>
      <c r="E323" t="s">
        <v>31</v>
      </c>
      <c r="F323">
        <v>2</v>
      </c>
      <c r="G323">
        <v>6</v>
      </c>
      <c r="H323" t="s">
        <v>79</v>
      </c>
      <c r="I323" t="s">
        <v>33</v>
      </c>
      <c r="J323" t="s">
        <v>34</v>
      </c>
      <c r="K323" s="1">
        <v>0.23749999999999999</v>
      </c>
      <c r="L323" t="s">
        <v>30</v>
      </c>
      <c r="M323">
        <v>22</v>
      </c>
      <c r="N323" t="s">
        <v>88</v>
      </c>
      <c r="O323" t="s">
        <v>243</v>
      </c>
      <c r="P323">
        <v>336</v>
      </c>
      <c r="Q323">
        <v>100</v>
      </c>
      <c r="R323" t="s">
        <v>36</v>
      </c>
      <c r="S323">
        <v>12</v>
      </c>
      <c r="T323">
        <v>12</v>
      </c>
      <c r="U323" t="s">
        <v>112</v>
      </c>
      <c r="V323" t="s">
        <v>37</v>
      </c>
      <c r="W323">
        <v>450</v>
      </c>
      <c r="X323">
        <v>60</v>
      </c>
      <c r="Y323" t="s">
        <v>38</v>
      </c>
      <c r="Z323">
        <v>20</v>
      </c>
      <c r="AA323" t="s">
        <v>39</v>
      </c>
      <c r="AB323">
        <v>20</v>
      </c>
      <c r="AC323" t="s">
        <v>40</v>
      </c>
    </row>
    <row r="324" spans="1:29" x14ac:dyDescent="0.25">
      <c r="A324" t="str">
        <f t="shared" si="4"/>
        <v>EEM_EG_Pavlovagyrans_raw_002_006_E3.csv</v>
      </c>
      <c r="B324" t="s">
        <v>29</v>
      </c>
      <c r="C324" t="s">
        <v>30</v>
      </c>
      <c r="D324" t="s">
        <v>30</v>
      </c>
      <c r="E324" t="s">
        <v>31</v>
      </c>
      <c r="F324">
        <v>2</v>
      </c>
      <c r="G324">
        <v>6</v>
      </c>
      <c r="H324" t="s">
        <v>81</v>
      </c>
      <c r="I324" t="s">
        <v>33</v>
      </c>
      <c r="J324" t="s">
        <v>34</v>
      </c>
      <c r="K324" s="1">
        <v>0.15060000000000001</v>
      </c>
      <c r="L324" t="s">
        <v>30</v>
      </c>
      <c r="M324">
        <v>22</v>
      </c>
      <c r="N324" t="s">
        <v>50</v>
      </c>
      <c r="O324" t="s">
        <v>243</v>
      </c>
      <c r="P324">
        <v>336</v>
      </c>
      <c r="Q324">
        <v>100</v>
      </c>
      <c r="R324" t="s">
        <v>36</v>
      </c>
      <c r="S324">
        <v>12</v>
      </c>
      <c r="T324">
        <v>12</v>
      </c>
      <c r="U324" t="s">
        <v>112</v>
      </c>
      <c r="V324" t="s">
        <v>37</v>
      </c>
      <c r="W324">
        <v>450</v>
      </c>
      <c r="X324">
        <v>60</v>
      </c>
      <c r="Y324" t="s">
        <v>38</v>
      </c>
      <c r="Z324">
        <v>20</v>
      </c>
      <c r="AA324" t="s">
        <v>39</v>
      </c>
      <c r="AB324">
        <v>20</v>
      </c>
      <c r="AC324" t="s">
        <v>40</v>
      </c>
    </row>
    <row r="325" spans="1:29" x14ac:dyDescent="0.25">
      <c r="A325" t="str">
        <f t="shared" si="4"/>
        <v>EEM_EG_Pavlovagyrans_raw_002_006_E4.csv</v>
      </c>
      <c r="B325" t="s">
        <v>29</v>
      </c>
      <c r="C325" t="s">
        <v>30</v>
      </c>
      <c r="D325" t="s">
        <v>30</v>
      </c>
      <c r="E325" t="s">
        <v>31</v>
      </c>
      <c r="F325">
        <v>2</v>
      </c>
      <c r="G325">
        <v>6</v>
      </c>
      <c r="H325" t="s">
        <v>83</v>
      </c>
      <c r="I325" t="s">
        <v>33</v>
      </c>
      <c r="J325" t="s">
        <v>34</v>
      </c>
      <c r="K325" s="1">
        <v>0.15029999999999999</v>
      </c>
      <c r="L325" t="s">
        <v>30</v>
      </c>
      <c r="M325">
        <v>22</v>
      </c>
      <c r="N325" t="s">
        <v>90</v>
      </c>
      <c r="O325" t="s">
        <v>243</v>
      </c>
      <c r="P325">
        <v>336</v>
      </c>
      <c r="Q325">
        <v>100</v>
      </c>
      <c r="R325" t="s">
        <v>36</v>
      </c>
      <c r="S325">
        <v>12</v>
      </c>
      <c r="T325">
        <v>12</v>
      </c>
      <c r="U325" t="s">
        <v>112</v>
      </c>
      <c r="V325" t="s">
        <v>37</v>
      </c>
      <c r="W325">
        <v>450</v>
      </c>
      <c r="X325">
        <v>60</v>
      </c>
      <c r="Y325" t="s">
        <v>38</v>
      </c>
      <c r="Z325">
        <v>20</v>
      </c>
      <c r="AA325" t="s">
        <v>39</v>
      </c>
      <c r="AB325">
        <v>20</v>
      </c>
      <c r="AC325" t="s">
        <v>40</v>
      </c>
    </row>
    <row r="326" spans="1:29" x14ac:dyDescent="0.25">
      <c r="A326" t="str">
        <f t="shared" si="4"/>
        <v>EEM_EG_Pavlovagyrans_raw_002_006_E5.csv</v>
      </c>
      <c r="B326" t="s">
        <v>29</v>
      </c>
      <c r="C326" t="s">
        <v>30</v>
      </c>
      <c r="D326" t="s">
        <v>30</v>
      </c>
      <c r="E326" t="s">
        <v>31</v>
      </c>
      <c r="F326">
        <v>2</v>
      </c>
      <c r="G326">
        <v>6</v>
      </c>
      <c r="H326" t="s">
        <v>85</v>
      </c>
      <c r="I326" t="s">
        <v>33</v>
      </c>
      <c r="J326" t="s">
        <v>34</v>
      </c>
      <c r="K326" s="1">
        <v>0.17299999999999999</v>
      </c>
      <c r="L326" t="s">
        <v>30</v>
      </c>
      <c r="M326">
        <v>22</v>
      </c>
      <c r="N326" t="s">
        <v>52</v>
      </c>
      <c r="O326" t="s">
        <v>243</v>
      </c>
      <c r="P326">
        <v>336</v>
      </c>
      <c r="Q326">
        <v>100</v>
      </c>
      <c r="R326" t="s">
        <v>36</v>
      </c>
      <c r="S326">
        <v>12</v>
      </c>
      <c r="T326">
        <v>12</v>
      </c>
      <c r="U326" t="s">
        <v>112</v>
      </c>
      <c r="V326" t="s">
        <v>37</v>
      </c>
      <c r="W326">
        <v>450</v>
      </c>
      <c r="X326">
        <v>60</v>
      </c>
      <c r="Y326" t="s">
        <v>38</v>
      </c>
      <c r="Z326">
        <v>20</v>
      </c>
      <c r="AA326" t="s">
        <v>39</v>
      </c>
      <c r="AB326">
        <v>20</v>
      </c>
      <c r="AC326" t="s">
        <v>40</v>
      </c>
    </row>
    <row r="327" spans="1:29" x14ac:dyDescent="0.25">
      <c r="A327" t="str">
        <f t="shared" si="4"/>
        <v>EEM_EG_Pavlovagyrans_raw_002_006_E6.csv</v>
      </c>
      <c r="B327" t="s">
        <v>29</v>
      </c>
      <c r="C327" t="s">
        <v>30</v>
      </c>
      <c r="D327" t="s">
        <v>30</v>
      </c>
      <c r="E327" t="s">
        <v>31</v>
      </c>
      <c r="F327">
        <v>2</v>
      </c>
      <c r="G327">
        <v>6</v>
      </c>
      <c r="H327" t="s">
        <v>87</v>
      </c>
      <c r="I327" t="s">
        <v>33</v>
      </c>
      <c r="J327" t="s">
        <v>34</v>
      </c>
      <c r="K327" s="1">
        <v>0.1719</v>
      </c>
      <c r="L327" t="s">
        <v>30</v>
      </c>
      <c r="M327">
        <v>22</v>
      </c>
      <c r="N327" t="s">
        <v>92</v>
      </c>
      <c r="O327" t="s">
        <v>243</v>
      </c>
      <c r="P327">
        <v>336</v>
      </c>
      <c r="Q327">
        <v>100</v>
      </c>
      <c r="R327" t="s">
        <v>36</v>
      </c>
      <c r="S327">
        <v>12</v>
      </c>
      <c r="T327">
        <v>12</v>
      </c>
      <c r="U327" t="s">
        <v>112</v>
      </c>
      <c r="V327" t="s">
        <v>37</v>
      </c>
      <c r="W327">
        <v>450</v>
      </c>
      <c r="X327">
        <v>60</v>
      </c>
      <c r="Y327" t="s">
        <v>38</v>
      </c>
      <c r="Z327">
        <v>20</v>
      </c>
      <c r="AA327" t="s">
        <v>39</v>
      </c>
      <c r="AB327">
        <v>20</v>
      </c>
      <c r="AC327" t="s">
        <v>40</v>
      </c>
    </row>
    <row r="328" spans="1:29" x14ac:dyDescent="0.25">
      <c r="A328" t="str">
        <f t="shared" si="4"/>
        <v>EEM_EG_Pavlovagyrans_raw_002_006_E7.csv</v>
      </c>
      <c r="B328" t="s">
        <v>29</v>
      </c>
      <c r="C328" t="s">
        <v>30</v>
      </c>
      <c r="D328" t="s">
        <v>30</v>
      </c>
      <c r="E328" t="s">
        <v>31</v>
      </c>
      <c r="F328">
        <v>2</v>
      </c>
      <c r="G328">
        <v>6</v>
      </c>
      <c r="H328" t="s">
        <v>89</v>
      </c>
      <c r="I328" t="s">
        <v>33</v>
      </c>
      <c r="J328" t="s">
        <v>34</v>
      </c>
      <c r="K328" s="1">
        <v>0.2137</v>
      </c>
      <c r="L328" t="s">
        <v>30</v>
      </c>
      <c r="M328">
        <v>22</v>
      </c>
      <c r="N328" t="s">
        <v>54</v>
      </c>
      <c r="O328" t="s">
        <v>243</v>
      </c>
      <c r="P328">
        <v>336</v>
      </c>
      <c r="Q328">
        <v>100</v>
      </c>
      <c r="R328" t="s">
        <v>36</v>
      </c>
      <c r="S328">
        <v>12</v>
      </c>
      <c r="T328">
        <v>12</v>
      </c>
      <c r="U328" t="s">
        <v>112</v>
      </c>
      <c r="V328" t="s">
        <v>37</v>
      </c>
      <c r="W328">
        <v>450</v>
      </c>
      <c r="X328">
        <v>60</v>
      </c>
      <c r="Y328" t="s">
        <v>38</v>
      </c>
      <c r="Z328">
        <v>20</v>
      </c>
      <c r="AA328" t="s">
        <v>39</v>
      </c>
      <c r="AB328">
        <v>20</v>
      </c>
      <c r="AC328" t="s">
        <v>40</v>
      </c>
    </row>
    <row r="329" spans="1:29" x14ac:dyDescent="0.25">
      <c r="A329" t="str">
        <f t="shared" si="4"/>
        <v>EEM_EG_Pavlovagyrans_raw_002_006_E8.csv</v>
      </c>
      <c r="B329" t="s">
        <v>29</v>
      </c>
      <c r="C329" t="s">
        <v>30</v>
      </c>
      <c r="D329" t="s">
        <v>30</v>
      </c>
      <c r="E329" t="s">
        <v>31</v>
      </c>
      <c r="F329">
        <v>2</v>
      </c>
      <c r="G329">
        <v>6</v>
      </c>
      <c r="H329" t="s">
        <v>91</v>
      </c>
      <c r="I329" t="s">
        <v>33</v>
      </c>
      <c r="J329" t="s">
        <v>34</v>
      </c>
      <c r="K329" s="1">
        <v>0.18190000000000001</v>
      </c>
      <c r="L329" t="s">
        <v>30</v>
      </c>
      <c r="M329">
        <v>22</v>
      </c>
      <c r="N329" t="s">
        <v>94</v>
      </c>
      <c r="O329" t="s">
        <v>243</v>
      </c>
      <c r="P329">
        <v>336</v>
      </c>
      <c r="Q329">
        <v>100</v>
      </c>
      <c r="R329" t="s">
        <v>36</v>
      </c>
      <c r="S329">
        <v>12</v>
      </c>
      <c r="T329">
        <v>12</v>
      </c>
      <c r="U329" t="s">
        <v>112</v>
      </c>
      <c r="V329" t="s">
        <v>37</v>
      </c>
      <c r="W329">
        <v>450</v>
      </c>
      <c r="X329">
        <v>60</v>
      </c>
      <c r="Y329" t="s">
        <v>38</v>
      </c>
      <c r="Z329">
        <v>20</v>
      </c>
      <c r="AA329" t="s">
        <v>39</v>
      </c>
      <c r="AB329">
        <v>20</v>
      </c>
      <c r="AC329" t="s">
        <v>40</v>
      </c>
    </row>
    <row r="330" spans="1:29" x14ac:dyDescent="0.25">
      <c r="A330" t="str">
        <f t="shared" si="4"/>
        <v>EEM_EG_Pavlovagyrans_raw_002_006_E9.csv</v>
      </c>
      <c r="B330" t="s">
        <v>29</v>
      </c>
      <c r="C330" t="s">
        <v>30</v>
      </c>
      <c r="D330" t="s">
        <v>30</v>
      </c>
      <c r="E330" t="s">
        <v>31</v>
      </c>
      <c r="F330">
        <v>2</v>
      </c>
      <c r="G330">
        <v>6</v>
      </c>
      <c r="H330" t="s">
        <v>93</v>
      </c>
      <c r="I330" t="s">
        <v>33</v>
      </c>
      <c r="J330" t="s">
        <v>34</v>
      </c>
      <c r="K330" s="1">
        <v>0.27239999999999998</v>
      </c>
      <c r="L330" t="s">
        <v>30</v>
      </c>
      <c r="M330">
        <v>22</v>
      </c>
      <c r="N330" t="s">
        <v>56</v>
      </c>
      <c r="O330" t="s">
        <v>243</v>
      </c>
      <c r="P330">
        <v>336</v>
      </c>
      <c r="Q330">
        <v>100</v>
      </c>
      <c r="R330" t="s">
        <v>36</v>
      </c>
      <c r="S330">
        <v>12</v>
      </c>
      <c r="T330">
        <v>12</v>
      </c>
      <c r="U330" t="s">
        <v>112</v>
      </c>
      <c r="V330" t="s">
        <v>37</v>
      </c>
      <c r="W330">
        <v>450</v>
      </c>
      <c r="X330">
        <v>60</v>
      </c>
      <c r="Y330" t="s">
        <v>38</v>
      </c>
      <c r="Z330">
        <v>20</v>
      </c>
      <c r="AA330" t="s">
        <v>39</v>
      </c>
      <c r="AB330">
        <v>20</v>
      </c>
      <c r="AC330" t="s">
        <v>40</v>
      </c>
    </row>
    <row r="331" spans="1:29" x14ac:dyDescent="0.25">
      <c r="A331" t="str">
        <f t="shared" si="4"/>
        <v>EEM_EG_Pavlovagyrans_raw_002_006_E10.csv</v>
      </c>
      <c r="B331" t="s">
        <v>29</v>
      </c>
      <c r="C331" t="s">
        <v>30</v>
      </c>
      <c r="D331" t="s">
        <v>30</v>
      </c>
      <c r="E331" t="s">
        <v>31</v>
      </c>
      <c r="F331">
        <v>2</v>
      </c>
      <c r="G331">
        <v>6</v>
      </c>
      <c r="H331" t="s">
        <v>95</v>
      </c>
      <c r="I331" t="s">
        <v>33</v>
      </c>
      <c r="J331" t="s">
        <v>34</v>
      </c>
      <c r="K331" s="1">
        <v>0.15840000000000001</v>
      </c>
      <c r="L331" t="s">
        <v>30</v>
      </c>
      <c r="M331">
        <v>22</v>
      </c>
      <c r="N331" t="s">
        <v>96</v>
      </c>
      <c r="O331" t="s">
        <v>243</v>
      </c>
      <c r="P331">
        <v>336</v>
      </c>
      <c r="Q331">
        <v>100</v>
      </c>
      <c r="R331" t="s">
        <v>36</v>
      </c>
      <c r="S331">
        <v>12</v>
      </c>
      <c r="T331">
        <v>12</v>
      </c>
      <c r="U331" t="s">
        <v>112</v>
      </c>
      <c r="V331" t="s">
        <v>37</v>
      </c>
      <c r="W331">
        <v>450</v>
      </c>
      <c r="X331">
        <v>60</v>
      </c>
      <c r="Y331" t="s">
        <v>38</v>
      </c>
      <c r="Z331">
        <v>20</v>
      </c>
      <c r="AA331" t="s">
        <v>39</v>
      </c>
      <c r="AB331">
        <v>20</v>
      </c>
      <c r="AC331" t="s">
        <v>40</v>
      </c>
    </row>
    <row r="332" spans="1:29" x14ac:dyDescent="0.25">
      <c r="A332" t="str">
        <f t="shared" si="4"/>
        <v>EEM_EG_Pavlovagyrans_raw_002_006_E11.csv</v>
      </c>
      <c r="B332" t="s">
        <v>29</v>
      </c>
      <c r="C332" t="s">
        <v>30</v>
      </c>
      <c r="D332" t="s">
        <v>30</v>
      </c>
      <c r="E332" t="s">
        <v>31</v>
      </c>
      <c r="F332">
        <v>2</v>
      </c>
      <c r="G332">
        <v>6</v>
      </c>
      <c r="H332" t="s">
        <v>97</v>
      </c>
      <c r="I332" t="s">
        <v>33</v>
      </c>
      <c r="J332" t="s">
        <v>34</v>
      </c>
      <c r="K332" s="1">
        <v>0.15390000000000001</v>
      </c>
      <c r="L332" t="s">
        <v>30</v>
      </c>
      <c r="M332">
        <v>22</v>
      </c>
      <c r="N332" t="s">
        <v>58</v>
      </c>
      <c r="O332" t="s">
        <v>243</v>
      </c>
      <c r="P332">
        <v>336</v>
      </c>
      <c r="Q332">
        <v>100</v>
      </c>
      <c r="R332" t="s">
        <v>36</v>
      </c>
      <c r="S332">
        <v>12</v>
      </c>
      <c r="T332">
        <v>12</v>
      </c>
      <c r="U332" t="s">
        <v>112</v>
      </c>
      <c r="V332" t="s">
        <v>37</v>
      </c>
      <c r="W332">
        <v>450</v>
      </c>
      <c r="X332">
        <v>60</v>
      </c>
      <c r="Y332" t="s">
        <v>38</v>
      </c>
      <c r="Z332">
        <v>20</v>
      </c>
      <c r="AA332" t="s">
        <v>39</v>
      </c>
      <c r="AB332">
        <v>20</v>
      </c>
      <c r="AC332" t="s">
        <v>40</v>
      </c>
    </row>
    <row r="333" spans="1:29" x14ac:dyDescent="0.25">
      <c r="A333" t="str">
        <f t="shared" si="4"/>
        <v>EEM_EG_Pavlovagyrans_raw_002_006_F1.csv</v>
      </c>
      <c r="B333" t="s">
        <v>29</v>
      </c>
      <c r="C333" t="s">
        <v>30</v>
      </c>
      <c r="D333" t="s">
        <v>30</v>
      </c>
      <c r="E333" t="s">
        <v>31</v>
      </c>
      <c r="F333">
        <v>2</v>
      </c>
      <c r="G333">
        <v>6</v>
      </c>
      <c r="H333" t="s">
        <v>164</v>
      </c>
      <c r="I333" t="s">
        <v>33</v>
      </c>
      <c r="J333" t="s">
        <v>34</v>
      </c>
      <c r="K333" s="1">
        <v>0.1482</v>
      </c>
      <c r="L333" t="s">
        <v>30</v>
      </c>
      <c r="M333">
        <v>22</v>
      </c>
      <c r="N333" t="s">
        <v>48</v>
      </c>
      <c r="O333" t="s">
        <v>243</v>
      </c>
      <c r="P333">
        <v>336</v>
      </c>
      <c r="Q333">
        <v>100</v>
      </c>
      <c r="R333" t="s">
        <v>36</v>
      </c>
      <c r="S333">
        <v>12</v>
      </c>
      <c r="T333">
        <v>12</v>
      </c>
      <c r="U333" t="s">
        <v>112</v>
      </c>
      <c r="V333" t="s">
        <v>37</v>
      </c>
      <c r="W333">
        <v>450</v>
      </c>
      <c r="X333">
        <v>60</v>
      </c>
      <c r="Y333" t="s">
        <v>38</v>
      </c>
      <c r="Z333">
        <v>20</v>
      </c>
      <c r="AA333" t="s">
        <v>39</v>
      </c>
      <c r="AB333">
        <v>20</v>
      </c>
      <c r="AC333" t="s">
        <v>40</v>
      </c>
    </row>
    <row r="334" spans="1:29" x14ac:dyDescent="0.25">
      <c r="A334" t="str">
        <f t="shared" si="4"/>
        <v>EEM_EG_Pavlovagyrans_raw_002_006_F2.csv</v>
      </c>
      <c r="B334" t="s">
        <v>29</v>
      </c>
      <c r="C334" t="s">
        <v>30</v>
      </c>
      <c r="D334" t="s">
        <v>30</v>
      </c>
      <c r="E334" t="s">
        <v>31</v>
      </c>
      <c r="F334">
        <v>2</v>
      </c>
      <c r="G334">
        <v>6</v>
      </c>
      <c r="H334" t="s">
        <v>98</v>
      </c>
      <c r="I334" t="s">
        <v>33</v>
      </c>
      <c r="J334" t="s">
        <v>34</v>
      </c>
      <c r="K334" s="1">
        <v>0.17130000000000001</v>
      </c>
      <c r="L334" t="s">
        <v>30</v>
      </c>
      <c r="M334">
        <v>22</v>
      </c>
      <c r="N334" t="s">
        <v>88</v>
      </c>
      <c r="O334" t="s">
        <v>243</v>
      </c>
      <c r="P334">
        <v>336</v>
      </c>
      <c r="Q334">
        <v>100</v>
      </c>
      <c r="R334" t="s">
        <v>36</v>
      </c>
      <c r="S334">
        <v>12</v>
      </c>
      <c r="T334">
        <v>12</v>
      </c>
      <c r="U334" t="s">
        <v>112</v>
      </c>
      <c r="V334" t="s">
        <v>37</v>
      </c>
      <c r="W334">
        <v>450</v>
      </c>
      <c r="X334">
        <v>60</v>
      </c>
      <c r="Y334" t="s">
        <v>38</v>
      </c>
      <c r="Z334">
        <v>20</v>
      </c>
      <c r="AA334" t="s">
        <v>39</v>
      </c>
      <c r="AB334">
        <v>20</v>
      </c>
      <c r="AC334" t="s">
        <v>40</v>
      </c>
    </row>
    <row r="335" spans="1:29" x14ac:dyDescent="0.25">
      <c r="A335" t="str">
        <f t="shared" si="4"/>
        <v>EEM_EG_Pavlovagyrans_raw_002_006_F3.csv</v>
      </c>
      <c r="B335" t="s">
        <v>29</v>
      </c>
      <c r="C335" t="s">
        <v>30</v>
      </c>
      <c r="D335" t="s">
        <v>30</v>
      </c>
      <c r="E335" t="s">
        <v>31</v>
      </c>
      <c r="F335">
        <v>2</v>
      </c>
      <c r="G335">
        <v>6</v>
      </c>
      <c r="H335" t="s">
        <v>99</v>
      </c>
      <c r="I335" t="s">
        <v>33</v>
      </c>
      <c r="J335" t="s">
        <v>34</v>
      </c>
      <c r="K335" s="1">
        <v>0.1623</v>
      </c>
      <c r="L335" t="s">
        <v>30</v>
      </c>
      <c r="M335">
        <v>22</v>
      </c>
      <c r="N335" t="s">
        <v>50</v>
      </c>
      <c r="O335" t="s">
        <v>243</v>
      </c>
      <c r="P335">
        <v>336</v>
      </c>
      <c r="Q335">
        <v>100</v>
      </c>
      <c r="R335" t="s">
        <v>36</v>
      </c>
      <c r="S335">
        <v>12</v>
      </c>
      <c r="T335">
        <v>12</v>
      </c>
      <c r="U335" t="s">
        <v>112</v>
      </c>
      <c r="V335" t="s">
        <v>37</v>
      </c>
      <c r="W335">
        <v>450</v>
      </c>
      <c r="X335">
        <v>60</v>
      </c>
      <c r="Y335" t="s">
        <v>38</v>
      </c>
      <c r="Z335">
        <v>20</v>
      </c>
      <c r="AA335" t="s">
        <v>39</v>
      </c>
      <c r="AB335">
        <v>20</v>
      </c>
      <c r="AC335" t="s">
        <v>40</v>
      </c>
    </row>
    <row r="336" spans="1:29" x14ac:dyDescent="0.25">
      <c r="A336" t="str">
        <f t="shared" si="4"/>
        <v>EEM_EG_Pavlovagyrans_raw_002_006_F4.csv</v>
      </c>
      <c r="B336" t="s">
        <v>29</v>
      </c>
      <c r="C336" t="s">
        <v>30</v>
      </c>
      <c r="D336" t="s">
        <v>30</v>
      </c>
      <c r="E336" t="s">
        <v>31</v>
      </c>
      <c r="F336">
        <v>2</v>
      </c>
      <c r="G336">
        <v>6</v>
      </c>
      <c r="H336" t="s">
        <v>100</v>
      </c>
      <c r="I336" t="s">
        <v>33</v>
      </c>
      <c r="J336" t="s">
        <v>34</v>
      </c>
      <c r="K336" s="1">
        <v>0.1696</v>
      </c>
      <c r="L336" t="s">
        <v>30</v>
      </c>
      <c r="M336">
        <v>22</v>
      </c>
      <c r="N336" t="s">
        <v>90</v>
      </c>
      <c r="O336" t="s">
        <v>243</v>
      </c>
      <c r="P336">
        <v>336</v>
      </c>
      <c r="Q336">
        <v>100</v>
      </c>
      <c r="R336" t="s">
        <v>36</v>
      </c>
      <c r="S336">
        <v>12</v>
      </c>
      <c r="T336">
        <v>12</v>
      </c>
      <c r="U336" t="s">
        <v>112</v>
      </c>
      <c r="V336" t="s">
        <v>37</v>
      </c>
      <c r="W336">
        <v>450</v>
      </c>
      <c r="X336">
        <v>60</v>
      </c>
      <c r="Y336" t="s">
        <v>38</v>
      </c>
      <c r="Z336">
        <v>20</v>
      </c>
      <c r="AA336" t="s">
        <v>39</v>
      </c>
      <c r="AB336">
        <v>20</v>
      </c>
      <c r="AC336" t="s">
        <v>40</v>
      </c>
    </row>
    <row r="337" spans="1:29" x14ac:dyDescent="0.25">
      <c r="A337" t="str">
        <f t="shared" si="4"/>
        <v>EEM_EG_Pavlovagyrans_raw_002_006_F5.csv</v>
      </c>
      <c r="B337" t="s">
        <v>29</v>
      </c>
      <c r="C337" t="s">
        <v>30</v>
      </c>
      <c r="D337" t="s">
        <v>30</v>
      </c>
      <c r="E337" t="s">
        <v>31</v>
      </c>
      <c r="F337">
        <v>2</v>
      </c>
      <c r="G337">
        <v>6</v>
      </c>
      <c r="H337" t="s">
        <v>101</v>
      </c>
      <c r="I337" t="s">
        <v>33</v>
      </c>
      <c r="J337" t="s">
        <v>34</v>
      </c>
      <c r="K337" s="1">
        <v>0.14729999999999999</v>
      </c>
      <c r="L337" t="s">
        <v>30</v>
      </c>
      <c r="M337">
        <v>22</v>
      </c>
      <c r="N337" t="s">
        <v>52</v>
      </c>
      <c r="O337" t="s">
        <v>243</v>
      </c>
      <c r="P337">
        <v>336</v>
      </c>
      <c r="Q337">
        <v>100</v>
      </c>
      <c r="R337" t="s">
        <v>36</v>
      </c>
      <c r="S337">
        <v>12</v>
      </c>
      <c r="T337">
        <v>12</v>
      </c>
      <c r="U337" t="s">
        <v>112</v>
      </c>
      <c r="V337" t="s">
        <v>37</v>
      </c>
      <c r="W337">
        <v>450</v>
      </c>
      <c r="X337">
        <v>60</v>
      </c>
      <c r="Y337" t="s">
        <v>38</v>
      </c>
      <c r="Z337">
        <v>20</v>
      </c>
      <c r="AA337" t="s">
        <v>39</v>
      </c>
      <c r="AB337">
        <v>20</v>
      </c>
      <c r="AC337" t="s">
        <v>40</v>
      </c>
    </row>
    <row r="338" spans="1:29" x14ac:dyDescent="0.25">
      <c r="A338" t="str">
        <f t="shared" si="4"/>
        <v>EEM_EG_Pavlovagyrans_raw_002_006_F6.csv</v>
      </c>
      <c r="B338" t="s">
        <v>29</v>
      </c>
      <c r="C338" t="s">
        <v>30</v>
      </c>
      <c r="D338" t="s">
        <v>30</v>
      </c>
      <c r="E338" t="s">
        <v>31</v>
      </c>
      <c r="F338">
        <v>2</v>
      </c>
      <c r="G338">
        <v>6</v>
      </c>
      <c r="H338" t="s">
        <v>102</v>
      </c>
      <c r="I338" t="s">
        <v>33</v>
      </c>
      <c r="J338" t="s">
        <v>34</v>
      </c>
      <c r="K338" s="1">
        <v>0.17169999999999999</v>
      </c>
      <c r="L338" t="s">
        <v>30</v>
      </c>
      <c r="M338">
        <v>22</v>
      </c>
      <c r="N338" t="s">
        <v>92</v>
      </c>
      <c r="O338" t="s">
        <v>243</v>
      </c>
      <c r="P338">
        <v>336</v>
      </c>
      <c r="Q338">
        <v>100</v>
      </c>
      <c r="R338" t="s">
        <v>36</v>
      </c>
      <c r="S338">
        <v>12</v>
      </c>
      <c r="T338">
        <v>12</v>
      </c>
      <c r="U338" t="s">
        <v>112</v>
      </c>
      <c r="V338" t="s">
        <v>37</v>
      </c>
      <c r="W338">
        <v>450</v>
      </c>
      <c r="X338">
        <v>60</v>
      </c>
      <c r="Y338" t="s">
        <v>38</v>
      </c>
      <c r="Z338">
        <v>20</v>
      </c>
      <c r="AA338" t="s">
        <v>39</v>
      </c>
      <c r="AB338">
        <v>20</v>
      </c>
      <c r="AC338" t="s">
        <v>40</v>
      </c>
    </row>
    <row r="339" spans="1:29" x14ac:dyDescent="0.25">
      <c r="A339" t="str">
        <f t="shared" si="4"/>
        <v>EEM_EG_Pavlovagyrans_raw_002_006_F7.csv</v>
      </c>
      <c r="B339" t="s">
        <v>29</v>
      </c>
      <c r="C339" t="s">
        <v>30</v>
      </c>
      <c r="D339" t="s">
        <v>30</v>
      </c>
      <c r="E339" t="s">
        <v>31</v>
      </c>
      <c r="F339">
        <v>2</v>
      </c>
      <c r="G339">
        <v>6</v>
      </c>
      <c r="H339" t="s">
        <v>103</v>
      </c>
      <c r="I339" t="s">
        <v>33</v>
      </c>
      <c r="J339" t="s">
        <v>34</v>
      </c>
      <c r="K339" s="1">
        <v>0.18990000000000001</v>
      </c>
      <c r="L339" t="s">
        <v>30</v>
      </c>
      <c r="M339">
        <v>22</v>
      </c>
      <c r="N339" t="s">
        <v>54</v>
      </c>
      <c r="O339" t="s">
        <v>243</v>
      </c>
      <c r="P339">
        <v>336</v>
      </c>
      <c r="Q339">
        <v>100</v>
      </c>
      <c r="R339" t="s">
        <v>36</v>
      </c>
      <c r="S339">
        <v>12</v>
      </c>
      <c r="T339">
        <v>12</v>
      </c>
      <c r="U339" t="s">
        <v>112</v>
      </c>
      <c r="V339" t="s">
        <v>37</v>
      </c>
      <c r="W339">
        <v>450</v>
      </c>
      <c r="X339">
        <v>60</v>
      </c>
      <c r="Y339" t="s">
        <v>38</v>
      </c>
      <c r="Z339">
        <v>20</v>
      </c>
      <c r="AA339" t="s">
        <v>39</v>
      </c>
      <c r="AB339">
        <v>20</v>
      </c>
      <c r="AC339" t="s">
        <v>40</v>
      </c>
    </row>
    <row r="340" spans="1:29" x14ac:dyDescent="0.25">
      <c r="A340" t="str">
        <f t="shared" si="4"/>
        <v>EEM_EG_Pavlovagyrans_raw_002_006_F8.csv</v>
      </c>
      <c r="B340" t="s">
        <v>29</v>
      </c>
      <c r="C340" t="s">
        <v>30</v>
      </c>
      <c r="D340" t="s">
        <v>30</v>
      </c>
      <c r="E340" t="s">
        <v>31</v>
      </c>
      <c r="F340">
        <v>2</v>
      </c>
      <c r="G340">
        <v>6</v>
      </c>
      <c r="H340" t="s">
        <v>104</v>
      </c>
      <c r="I340" t="s">
        <v>33</v>
      </c>
      <c r="J340" t="s">
        <v>34</v>
      </c>
      <c r="K340" s="1">
        <v>0.19600000000000001</v>
      </c>
      <c r="L340" t="s">
        <v>30</v>
      </c>
      <c r="M340">
        <v>22</v>
      </c>
      <c r="N340" t="s">
        <v>94</v>
      </c>
      <c r="O340" t="s">
        <v>243</v>
      </c>
      <c r="P340">
        <v>336</v>
      </c>
      <c r="Q340">
        <v>100</v>
      </c>
      <c r="R340" t="s">
        <v>36</v>
      </c>
      <c r="S340">
        <v>12</v>
      </c>
      <c r="T340">
        <v>12</v>
      </c>
      <c r="U340" t="s">
        <v>112</v>
      </c>
      <c r="V340" t="s">
        <v>37</v>
      </c>
      <c r="W340">
        <v>450</v>
      </c>
      <c r="X340">
        <v>60</v>
      </c>
      <c r="Y340" t="s">
        <v>38</v>
      </c>
      <c r="Z340">
        <v>20</v>
      </c>
      <c r="AA340" t="s">
        <v>39</v>
      </c>
      <c r="AB340">
        <v>20</v>
      </c>
      <c r="AC340" t="s">
        <v>40</v>
      </c>
    </row>
    <row r="341" spans="1:29" x14ac:dyDescent="0.25">
      <c r="A341" t="str">
        <f t="shared" si="4"/>
        <v>EEM_EG_Pavlovagyrans_raw_002_006_F9.csv</v>
      </c>
      <c r="B341" t="s">
        <v>29</v>
      </c>
      <c r="C341" t="s">
        <v>30</v>
      </c>
      <c r="D341" t="s">
        <v>30</v>
      </c>
      <c r="E341" t="s">
        <v>31</v>
      </c>
      <c r="F341">
        <v>2</v>
      </c>
      <c r="G341">
        <v>6</v>
      </c>
      <c r="H341" t="s">
        <v>105</v>
      </c>
      <c r="I341" t="s">
        <v>33</v>
      </c>
      <c r="J341" t="s">
        <v>34</v>
      </c>
      <c r="K341" s="1">
        <v>0.2356</v>
      </c>
      <c r="L341" t="s">
        <v>30</v>
      </c>
      <c r="M341">
        <v>22</v>
      </c>
      <c r="N341" t="s">
        <v>56</v>
      </c>
      <c r="O341" t="s">
        <v>243</v>
      </c>
      <c r="P341">
        <v>336</v>
      </c>
      <c r="Q341">
        <v>100</v>
      </c>
      <c r="R341" t="s">
        <v>36</v>
      </c>
      <c r="S341">
        <v>12</v>
      </c>
      <c r="T341">
        <v>12</v>
      </c>
      <c r="U341" t="s">
        <v>112</v>
      </c>
      <c r="V341" t="s">
        <v>37</v>
      </c>
      <c r="W341">
        <v>450</v>
      </c>
      <c r="X341">
        <v>60</v>
      </c>
      <c r="Y341" t="s">
        <v>38</v>
      </c>
      <c r="Z341">
        <v>20</v>
      </c>
      <c r="AA341" t="s">
        <v>39</v>
      </c>
      <c r="AB341">
        <v>20</v>
      </c>
      <c r="AC341" t="s">
        <v>40</v>
      </c>
    </row>
    <row r="342" spans="1:29" x14ac:dyDescent="0.25">
      <c r="A342" t="str">
        <f t="shared" si="4"/>
        <v>EEM_EG_Pavlovagyrans_raw_002_006_F10.csv</v>
      </c>
      <c r="B342" t="s">
        <v>29</v>
      </c>
      <c r="C342" t="s">
        <v>30</v>
      </c>
      <c r="D342" t="s">
        <v>30</v>
      </c>
      <c r="E342" t="s">
        <v>31</v>
      </c>
      <c r="F342">
        <v>2</v>
      </c>
      <c r="G342">
        <v>6</v>
      </c>
      <c r="H342" t="s">
        <v>106</v>
      </c>
      <c r="I342" t="s">
        <v>33</v>
      </c>
      <c r="J342" t="s">
        <v>34</v>
      </c>
      <c r="K342" s="1">
        <v>0.16039999999999999</v>
      </c>
      <c r="L342" t="s">
        <v>30</v>
      </c>
      <c r="M342">
        <v>22</v>
      </c>
      <c r="N342" t="s">
        <v>96</v>
      </c>
      <c r="O342" t="s">
        <v>243</v>
      </c>
      <c r="P342">
        <v>336</v>
      </c>
      <c r="Q342">
        <v>100</v>
      </c>
      <c r="R342" t="s">
        <v>36</v>
      </c>
      <c r="S342">
        <v>12</v>
      </c>
      <c r="T342">
        <v>12</v>
      </c>
      <c r="U342" t="s">
        <v>112</v>
      </c>
      <c r="V342" t="s">
        <v>37</v>
      </c>
      <c r="W342">
        <v>450</v>
      </c>
      <c r="X342">
        <v>60</v>
      </c>
      <c r="Y342" t="s">
        <v>38</v>
      </c>
      <c r="Z342">
        <v>20</v>
      </c>
      <c r="AA342" t="s">
        <v>39</v>
      </c>
      <c r="AB342">
        <v>20</v>
      </c>
      <c r="AC342" t="s">
        <v>40</v>
      </c>
    </row>
    <row r="343" spans="1:29" x14ac:dyDescent="0.25">
      <c r="A343" t="str">
        <f t="shared" ref="A343" si="5">"EEM_EG_Pavlovagyrans_raw_002_006_"&amp;H343&amp;".csv"</f>
        <v>EEM_EG_Pavlovagyrans_raw_002_006_F11.csv</v>
      </c>
      <c r="B343" t="s">
        <v>29</v>
      </c>
      <c r="C343" t="s">
        <v>30</v>
      </c>
      <c r="D343" t="s">
        <v>30</v>
      </c>
      <c r="E343" t="s">
        <v>31</v>
      </c>
      <c r="F343">
        <v>2</v>
      </c>
      <c r="G343">
        <v>6</v>
      </c>
      <c r="H343" t="s">
        <v>107</v>
      </c>
      <c r="I343" t="s">
        <v>33</v>
      </c>
      <c r="J343" t="s">
        <v>34</v>
      </c>
      <c r="K343" s="1">
        <v>0.16830000000000001</v>
      </c>
      <c r="L343" t="s">
        <v>30</v>
      </c>
      <c r="M343">
        <v>22</v>
      </c>
      <c r="N343" t="s">
        <v>58</v>
      </c>
      <c r="O343" t="s">
        <v>243</v>
      </c>
      <c r="P343">
        <v>336</v>
      </c>
      <c r="Q343">
        <v>100</v>
      </c>
      <c r="R343" t="s">
        <v>36</v>
      </c>
      <c r="S343">
        <v>12</v>
      </c>
      <c r="T343">
        <v>12</v>
      </c>
      <c r="U343" t="s">
        <v>112</v>
      </c>
      <c r="V343" t="s">
        <v>37</v>
      </c>
      <c r="W343">
        <v>450</v>
      </c>
      <c r="X343">
        <v>60</v>
      </c>
      <c r="Y343" t="s">
        <v>38</v>
      </c>
      <c r="Z343">
        <v>20</v>
      </c>
      <c r="AA343" t="s">
        <v>39</v>
      </c>
      <c r="AB343">
        <v>20</v>
      </c>
      <c r="AC343" t="s">
        <v>40</v>
      </c>
    </row>
    <row r="344" spans="1:29" x14ac:dyDescent="0.25">
      <c r="A344" t="str">
        <f>"EEM_EG_Pavlovagyrans_raw_002_007_"&amp;H344&amp;".csv"</f>
        <v>EEM_EG_Pavlovagyrans_raw_002_007_A1.csv</v>
      </c>
      <c r="B344" t="s">
        <v>29</v>
      </c>
      <c r="C344" t="s">
        <v>30</v>
      </c>
      <c r="D344" t="s">
        <v>30</v>
      </c>
      <c r="E344" t="s">
        <v>31</v>
      </c>
      <c r="F344">
        <v>2</v>
      </c>
      <c r="G344">
        <v>7</v>
      </c>
      <c r="H344" t="s">
        <v>110</v>
      </c>
      <c r="I344" t="s">
        <v>33</v>
      </c>
      <c r="J344" t="s">
        <v>34</v>
      </c>
      <c r="K344" s="1">
        <v>6.4600000000000005E-2</v>
      </c>
      <c r="L344" t="s">
        <v>30</v>
      </c>
      <c r="M344">
        <v>22</v>
      </c>
      <c r="N344" t="s">
        <v>35</v>
      </c>
      <c r="O344" t="s">
        <v>244</v>
      </c>
      <c r="P344">
        <v>336</v>
      </c>
      <c r="Q344">
        <v>50</v>
      </c>
      <c r="R344" t="s">
        <v>36</v>
      </c>
      <c r="S344">
        <v>12</v>
      </c>
      <c r="T344">
        <v>12</v>
      </c>
      <c r="U344" t="s">
        <v>112</v>
      </c>
      <c r="V344" t="s">
        <v>37</v>
      </c>
      <c r="W344">
        <v>450</v>
      </c>
      <c r="X344">
        <v>60</v>
      </c>
      <c r="Y344" t="s">
        <v>38</v>
      </c>
      <c r="Z344">
        <v>20</v>
      </c>
      <c r="AA344" t="s">
        <v>39</v>
      </c>
      <c r="AB344">
        <v>20</v>
      </c>
      <c r="AC344" t="s">
        <v>40</v>
      </c>
    </row>
    <row r="345" spans="1:29" x14ac:dyDescent="0.25">
      <c r="A345" t="str">
        <f t="shared" ref="A345:A391" si="6">"EEM_EG_Pavlovagyrans_raw_002_007_"&amp;H345&amp;".csv"</f>
        <v>EEM_EG_Pavlovagyrans_raw_002_007_A2.csv</v>
      </c>
      <c r="B345" t="s">
        <v>29</v>
      </c>
      <c r="C345" t="s">
        <v>30</v>
      </c>
      <c r="D345" t="s">
        <v>30</v>
      </c>
      <c r="E345" t="s">
        <v>31</v>
      </c>
      <c r="F345">
        <v>2</v>
      </c>
      <c r="G345">
        <v>7</v>
      </c>
      <c r="H345" t="s">
        <v>114</v>
      </c>
      <c r="I345" t="s">
        <v>33</v>
      </c>
      <c r="J345" t="s">
        <v>34</v>
      </c>
      <c r="K345" s="1">
        <v>0.1772</v>
      </c>
      <c r="L345" t="s">
        <v>30</v>
      </c>
      <c r="M345">
        <v>22</v>
      </c>
      <c r="N345" t="s">
        <v>80</v>
      </c>
      <c r="O345" t="s">
        <v>244</v>
      </c>
      <c r="P345">
        <v>336</v>
      </c>
      <c r="Q345">
        <v>50</v>
      </c>
      <c r="R345" t="s">
        <v>36</v>
      </c>
      <c r="S345">
        <v>12</v>
      </c>
      <c r="T345">
        <v>12</v>
      </c>
      <c r="U345" t="s">
        <v>112</v>
      </c>
      <c r="V345" t="s">
        <v>37</v>
      </c>
      <c r="W345">
        <v>450</v>
      </c>
      <c r="X345">
        <v>60</v>
      </c>
      <c r="Y345" t="s">
        <v>38</v>
      </c>
      <c r="Z345">
        <v>20</v>
      </c>
      <c r="AA345" t="s">
        <v>39</v>
      </c>
      <c r="AB345">
        <v>20</v>
      </c>
      <c r="AC345" t="s">
        <v>40</v>
      </c>
    </row>
    <row r="346" spans="1:29" x14ac:dyDescent="0.25">
      <c r="A346" t="str">
        <f t="shared" si="6"/>
        <v>EEM_EG_Pavlovagyrans_raw_002_007_A3.csv</v>
      </c>
      <c r="B346" t="s">
        <v>29</v>
      </c>
      <c r="C346" t="s">
        <v>30</v>
      </c>
      <c r="D346" t="s">
        <v>30</v>
      </c>
      <c r="E346" t="s">
        <v>31</v>
      </c>
      <c r="F346">
        <v>2</v>
      </c>
      <c r="G346">
        <v>7</v>
      </c>
      <c r="H346" t="s">
        <v>116</v>
      </c>
      <c r="I346" t="s">
        <v>33</v>
      </c>
      <c r="J346" t="s">
        <v>34</v>
      </c>
      <c r="K346" s="1">
        <v>0.1668</v>
      </c>
      <c r="L346" t="s">
        <v>30</v>
      </c>
      <c r="M346">
        <v>22</v>
      </c>
      <c r="N346" t="s">
        <v>42</v>
      </c>
      <c r="O346" t="s">
        <v>244</v>
      </c>
      <c r="P346">
        <v>336</v>
      </c>
      <c r="Q346">
        <v>50</v>
      </c>
      <c r="R346" t="s">
        <v>36</v>
      </c>
      <c r="S346">
        <v>12</v>
      </c>
      <c r="T346">
        <v>12</v>
      </c>
      <c r="U346" t="s">
        <v>112</v>
      </c>
      <c r="V346" t="s">
        <v>37</v>
      </c>
      <c r="W346">
        <v>450</v>
      </c>
      <c r="X346">
        <v>60</v>
      </c>
      <c r="Y346" t="s">
        <v>38</v>
      </c>
      <c r="Z346">
        <v>20</v>
      </c>
      <c r="AA346" t="s">
        <v>39</v>
      </c>
      <c r="AB346">
        <v>20</v>
      </c>
      <c r="AC346" t="s">
        <v>40</v>
      </c>
    </row>
    <row r="347" spans="1:29" x14ac:dyDescent="0.25">
      <c r="A347" t="str">
        <f t="shared" si="6"/>
        <v>EEM_EG_Pavlovagyrans_raw_002_007_A4.csv</v>
      </c>
      <c r="B347" t="s">
        <v>29</v>
      </c>
      <c r="C347" t="s">
        <v>30</v>
      </c>
      <c r="D347" t="s">
        <v>30</v>
      </c>
      <c r="E347" t="s">
        <v>31</v>
      </c>
      <c r="F347">
        <v>2</v>
      </c>
      <c r="G347">
        <v>7</v>
      </c>
      <c r="H347" t="s">
        <v>118</v>
      </c>
      <c r="I347" t="s">
        <v>33</v>
      </c>
      <c r="J347" t="s">
        <v>34</v>
      </c>
      <c r="K347" s="1">
        <v>0.16869999999999999</v>
      </c>
      <c r="L347" t="s">
        <v>30</v>
      </c>
      <c r="M347">
        <v>22</v>
      </c>
      <c r="N347" t="s">
        <v>82</v>
      </c>
      <c r="O347" t="s">
        <v>244</v>
      </c>
      <c r="P347">
        <v>336</v>
      </c>
      <c r="Q347">
        <v>50</v>
      </c>
      <c r="R347" t="s">
        <v>36</v>
      </c>
      <c r="S347">
        <v>12</v>
      </c>
      <c r="T347">
        <v>12</v>
      </c>
      <c r="U347" t="s">
        <v>112</v>
      </c>
      <c r="V347" t="s">
        <v>37</v>
      </c>
      <c r="W347">
        <v>450</v>
      </c>
      <c r="X347">
        <v>60</v>
      </c>
      <c r="Y347" t="s">
        <v>38</v>
      </c>
      <c r="Z347">
        <v>20</v>
      </c>
      <c r="AA347" t="s">
        <v>39</v>
      </c>
      <c r="AB347">
        <v>20</v>
      </c>
      <c r="AC347" t="s">
        <v>40</v>
      </c>
    </row>
    <row r="348" spans="1:29" x14ac:dyDescent="0.25">
      <c r="A348" t="str">
        <f t="shared" si="6"/>
        <v>EEM_EG_Pavlovagyrans_raw_002_007_A5.csv</v>
      </c>
      <c r="B348" t="s">
        <v>29</v>
      </c>
      <c r="C348" t="s">
        <v>30</v>
      </c>
      <c r="D348" t="s">
        <v>30</v>
      </c>
      <c r="E348" t="s">
        <v>31</v>
      </c>
      <c r="F348">
        <v>2</v>
      </c>
      <c r="G348">
        <v>7</v>
      </c>
      <c r="H348" t="s">
        <v>120</v>
      </c>
      <c r="I348" t="s">
        <v>33</v>
      </c>
      <c r="J348" t="s">
        <v>34</v>
      </c>
      <c r="K348" s="1">
        <v>0.16930000000000001</v>
      </c>
      <c r="L348" t="s">
        <v>30</v>
      </c>
      <c r="M348">
        <v>22</v>
      </c>
      <c r="N348" t="s">
        <v>44</v>
      </c>
      <c r="O348" t="s">
        <v>244</v>
      </c>
      <c r="P348">
        <v>336</v>
      </c>
      <c r="Q348">
        <v>50</v>
      </c>
      <c r="R348" t="s">
        <v>36</v>
      </c>
      <c r="S348">
        <v>12</v>
      </c>
      <c r="T348">
        <v>12</v>
      </c>
      <c r="U348" t="s">
        <v>112</v>
      </c>
      <c r="V348" t="s">
        <v>37</v>
      </c>
      <c r="W348">
        <v>450</v>
      </c>
      <c r="X348">
        <v>60</v>
      </c>
      <c r="Y348" t="s">
        <v>38</v>
      </c>
      <c r="Z348">
        <v>20</v>
      </c>
      <c r="AA348" t="s">
        <v>39</v>
      </c>
      <c r="AB348">
        <v>20</v>
      </c>
      <c r="AC348" t="s">
        <v>40</v>
      </c>
    </row>
    <row r="349" spans="1:29" x14ac:dyDescent="0.25">
      <c r="A349" t="str">
        <f t="shared" si="6"/>
        <v>EEM_EG_Pavlovagyrans_raw_002_007_A6.csv</v>
      </c>
      <c r="B349" t="s">
        <v>29</v>
      </c>
      <c r="C349" t="s">
        <v>30</v>
      </c>
      <c r="D349" t="s">
        <v>30</v>
      </c>
      <c r="E349" t="s">
        <v>31</v>
      </c>
      <c r="F349">
        <v>2</v>
      </c>
      <c r="G349">
        <v>7</v>
      </c>
      <c r="H349" t="s">
        <v>122</v>
      </c>
      <c r="I349" t="s">
        <v>33</v>
      </c>
      <c r="J349" t="s">
        <v>34</v>
      </c>
      <c r="K349" s="1">
        <v>0.16439999999999999</v>
      </c>
      <c r="L349" t="s">
        <v>30</v>
      </c>
      <c r="M349">
        <v>22</v>
      </c>
      <c r="N349" t="s">
        <v>84</v>
      </c>
      <c r="O349" t="s">
        <v>244</v>
      </c>
      <c r="P349">
        <v>336</v>
      </c>
      <c r="Q349">
        <v>50</v>
      </c>
      <c r="R349" t="s">
        <v>36</v>
      </c>
      <c r="S349">
        <v>12</v>
      </c>
      <c r="T349">
        <v>12</v>
      </c>
      <c r="U349" t="s">
        <v>112</v>
      </c>
      <c r="V349" t="s">
        <v>37</v>
      </c>
      <c r="W349">
        <v>450</v>
      </c>
      <c r="X349">
        <v>60</v>
      </c>
      <c r="Y349" t="s">
        <v>38</v>
      </c>
      <c r="Z349">
        <v>20</v>
      </c>
      <c r="AA349" t="s">
        <v>39</v>
      </c>
      <c r="AB349">
        <v>20</v>
      </c>
      <c r="AC349" t="s">
        <v>40</v>
      </c>
    </row>
    <row r="350" spans="1:29" x14ac:dyDescent="0.25">
      <c r="A350" t="str">
        <f t="shared" si="6"/>
        <v>EEM_EG_Pavlovagyrans_raw_002_007_A7.csv</v>
      </c>
      <c r="B350" t="s">
        <v>29</v>
      </c>
      <c r="C350" t="s">
        <v>30</v>
      </c>
      <c r="D350" t="s">
        <v>30</v>
      </c>
      <c r="E350" t="s">
        <v>31</v>
      </c>
      <c r="F350">
        <v>2</v>
      </c>
      <c r="G350">
        <v>7</v>
      </c>
      <c r="H350" t="s">
        <v>124</v>
      </c>
      <c r="I350" t="s">
        <v>33</v>
      </c>
      <c r="J350" t="s">
        <v>34</v>
      </c>
      <c r="K350" s="1">
        <v>0.16500000000000001</v>
      </c>
      <c r="L350" t="s">
        <v>30</v>
      </c>
      <c r="M350">
        <v>22</v>
      </c>
      <c r="N350" t="s">
        <v>46</v>
      </c>
      <c r="O350" t="s">
        <v>244</v>
      </c>
      <c r="P350">
        <v>336</v>
      </c>
      <c r="Q350">
        <v>50</v>
      </c>
      <c r="R350" t="s">
        <v>36</v>
      </c>
      <c r="S350">
        <v>12</v>
      </c>
      <c r="T350">
        <v>12</v>
      </c>
      <c r="U350" t="s">
        <v>112</v>
      </c>
      <c r="V350" t="s">
        <v>37</v>
      </c>
      <c r="W350">
        <v>450</v>
      </c>
      <c r="X350">
        <v>60</v>
      </c>
      <c r="Y350" t="s">
        <v>38</v>
      </c>
      <c r="Z350">
        <v>20</v>
      </c>
      <c r="AA350" t="s">
        <v>39</v>
      </c>
      <c r="AB350">
        <v>20</v>
      </c>
      <c r="AC350" t="s">
        <v>40</v>
      </c>
    </row>
    <row r="351" spans="1:29" x14ac:dyDescent="0.25">
      <c r="A351" t="str">
        <f t="shared" si="6"/>
        <v>EEM_EG_Pavlovagyrans_raw_002_007_A8.csv</v>
      </c>
      <c r="B351" t="s">
        <v>29</v>
      </c>
      <c r="C351" t="s">
        <v>30</v>
      </c>
      <c r="D351" t="s">
        <v>30</v>
      </c>
      <c r="E351" t="s">
        <v>31</v>
      </c>
      <c r="F351">
        <v>2</v>
      </c>
      <c r="G351">
        <v>7</v>
      </c>
      <c r="H351" t="s">
        <v>126</v>
      </c>
      <c r="I351" t="s">
        <v>33</v>
      </c>
      <c r="J351" t="s">
        <v>34</v>
      </c>
      <c r="K351" s="1">
        <v>0.16500000000000001</v>
      </c>
      <c r="L351" t="s">
        <v>30</v>
      </c>
      <c r="M351">
        <v>22</v>
      </c>
      <c r="N351" t="s">
        <v>86</v>
      </c>
      <c r="O351" t="s">
        <v>244</v>
      </c>
      <c r="P351">
        <v>336</v>
      </c>
      <c r="Q351">
        <v>50</v>
      </c>
      <c r="R351" t="s">
        <v>36</v>
      </c>
      <c r="S351">
        <v>12</v>
      </c>
      <c r="T351">
        <v>12</v>
      </c>
      <c r="U351" t="s">
        <v>112</v>
      </c>
      <c r="V351" t="s">
        <v>37</v>
      </c>
      <c r="W351">
        <v>450</v>
      </c>
      <c r="X351">
        <v>60</v>
      </c>
      <c r="Y351" t="s">
        <v>38</v>
      </c>
      <c r="Z351">
        <v>20</v>
      </c>
      <c r="AA351" t="s">
        <v>39</v>
      </c>
      <c r="AB351">
        <v>20</v>
      </c>
      <c r="AC351" t="s">
        <v>40</v>
      </c>
    </row>
    <row r="352" spans="1:29" x14ac:dyDescent="0.25">
      <c r="A352" t="str">
        <f t="shared" si="6"/>
        <v>EEM_EG_Pavlovagyrans_raw_002_007_B1.csv</v>
      </c>
      <c r="B352" t="s">
        <v>29</v>
      </c>
      <c r="C352" t="s">
        <v>30</v>
      </c>
      <c r="D352" t="s">
        <v>30</v>
      </c>
      <c r="E352" t="s">
        <v>31</v>
      </c>
      <c r="F352">
        <v>2</v>
      </c>
      <c r="G352">
        <v>7</v>
      </c>
      <c r="H352" t="s">
        <v>128</v>
      </c>
      <c r="I352" t="s">
        <v>33</v>
      </c>
      <c r="J352" t="s">
        <v>34</v>
      </c>
      <c r="K352" s="1">
        <v>6.7900000000000002E-2</v>
      </c>
      <c r="L352" t="s">
        <v>30</v>
      </c>
      <c r="M352">
        <v>22</v>
      </c>
      <c r="N352" t="s">
        <v>35</v>
      </c>
      <c r="O352" t="s">
        <v>244</v>
      </c>
      <c r="P352">
        <v>336</v>
      </c>
      <c r="Q352">
        <v>50</v>
      </c>
      <c r="R352" t="s">
        <v>36</v>
      </c>
      <c r="S352">
        <v>12</v>
      </c>
      <c r="T352">
        <v>12</v>
      </c>
      <c r="U352" t="s">
        <v>112</v>
      </c>
      <c r="V352" t="s">
        <v>37</v>
      </c>
      <c r="W352">
        <v>450</v>
      </c>
      <c r="X352">
        <v>60</v>
      </c>
      <c r="Y352" t="s">
        <v>38</v>
      </c>
      <c r="Z352">
        <v>20</v>
      </c>
      <c r="AA352" t="s">
        <v>39</v>
      </c>
      <c r="AB352">
        <v>20</v>
      </c>
      <c r="AC352" t="s">
        <v>40</v>
      </c>
    </row>
    <row r="353" spans="1:29" x14ac:dyDescent="0.25">
      <c r="A353" t="str">
        <f t="shared" si="6"/>
        <v>EEM_EG_Pavlovagyrans_raw_002_007_B2.csv</v>
      </c>
      <c r="B353" t="s">
        <v>29</v>
      </c>
      <c r="C353" t="s">
        <v>30</v>
      </c>
      <c r="D353" t="s">
        <v>30</v>
      </c>
      <c r="E353" t="s">
        <v>31</v>
      </c>
      <c r="F353">
        <v>2</v>
      </c>
      <c r="G353">
        <v>7</v>
      </c>
      <c r="H353" t="s">
        <v>32</v>
      </c>
      <c r="I353" t="s">
        <v>33</v>
      </c>
      <c r="J353" t="s">
        <v>34</v>
      </c>
      <c r="K353" s="1">
        <v>0.1883</v>
      </c>
      <c r="L353" t="s">
        <v>30</v>
      </c>
      <c r="M353">
        <v>22</v>
      </c>
      <c r="N353" t="s">
        <v>80</v>
      </c>
      <c r="O353" t="s">
        <v>244</v>
      </c>
      <c r="P353">
        <v>336</v>
      </c>
      <c r="Q353">
        <v>50</v>
      </c>
      <c r="R353" t="s">
        <v>36</v>
      </c>
      <c r="S353">
        <v>12</v>
      </c>
      <c r="T353">
        <v>12</v>
      </c>
      <c r="U353" t="s">
        <v>112</v>
      </c>
      <c r="V353" t="s">
        <v>37</v>
      </c>
      <c r="W353">
        <v>450</v>
      </c>
      <c r="X353">
        <v>60</v>
      </c>
      <c r="Y353" t="s">
        <v>38</v>
      </c>
      <c r="Z353">
        <v>20</v>
      </c>
      <c r="AA353" t="s">
        <v>39</v>
      </c>
      <c r="AB353">
        <v>20</v>
      </c>
      <c r="AC353" t="s">
        <v>40</v>
      </c>
    </row>
    <row r="354" spans="1:29" x14ac:dyDescent="0.25">
      <c r="A354" t="str">
        <f t="shared" si="6"/>
        <v>EEM_EG_Pavlovagyrans_raw_002_007_B3.csv</v>
      </c>
      <c r="B354" t="s">
        <v>29</v>
      </c>
      <c r="C354" t="s">
        <v>30</v>
      </c>
      <c r="D354" t="s">
        <v>30</v>
      </c>
      <c r="E354" t="s">
        <v>31</v>
      </c>
      <c r="F354">
        <v>2</v>
      </c>
      <c r="G354">
        <v>7</v>
      </c>
      <c r="H354" t="s">
        <v>41</v>
      </c>
      <c r="I354" t="s">
        <v>33</v>
      </c>
      <c r="J354" t="s">
        <v>34</v>
      </c>
      <c r="K354" s="1">
        <v>0.17460000000000001</v>
      </c>
      <c r="L354" t="s">
        <v>30</v>
      </c>
      <c r="M354">
        <v>22</v>
      </c>
      <c r="N354" t="s">
        <v>42</v>
      </c>
      <c r="O354" t="s">
        <v>244</v>
      </c>
      <c r="P354">
        <v>336</v>
      </c>
      <c r="Q354">
        <v>50</v>
      </c>
      <c r="R354" t="s">
        <v>36</v>
      </c>
      <c r="S354">
        <v>12</v>
      </c>
      <c r="T354">
        <v>12</v>
      </c>
      <c r="U354" t="s">
        <v>112</v>
      </c>
      <c r="V354" t="s">
        <v>37</v>
      </c>
      <c r="W354">
        <v>450</v>
      </c>
      <c r="X354">
        <v>60</v>
      </c>
      <c r="Y354" t="s">
        <v>38</v>
      </c>
      <c r="Z354">
        <v>20</v>
      </c>
      <c r="AA354" t="s">
        <v>39</v>
      </c>
      <c r="AB354">
        <v>20</v>
      </c>
      <c r="AC354" t="s">
        <v>40</v>
      </c>
    </row>
    <row r="355" spans="1:29" x14ac:dyDescent="0.25">
      <c r="A355" t="str">
        <f t="shared" si="6"/>
        <v>EEM_EG_Pavlovagyrans_raw_002_007_B4.csv</v>
      </c>
      <c r="B355" t="s">
        <v>29</v>
      </c>
      <c r="C355" t="s">
        <v>30</v>
      </c>
      <c r="D355" t="s">
        <v>30</v>
      </c>
      <c r="E355" t="s">
        <v>31</v>
      </c>
      <c r="F355">
        <v>2</v>
      </c>
      <c r="G355">
        <v>7</v>
      </c>
      <c r="H355" t="s">
        <v>43</v>
      </c>
      <c r="I355" t="s">
        <v>33</v>
      </c>
      <c r="J355" t="s">
        <v>34</v>
      </c>
      <c r="K355" s="1">
        <v>0.1981</v>
      </c>
      <c r="L355" t="s">
        <v>30</v>
      </c>
      <c r="M355">
        <v>22</v>
      </c>
      <c r="N355" t="s">
        <v>82</v>
      </c>
      <c r="O355" t="s">
        <v>244</v>
      </c>
      <c r="P355">
        <v>336</v>
      </c>
      <c r="Q355">
        <v>50</v>
      </c>
      <c r="R355" t="s">
        <v>36</v>
      </c>
      <c r="S355">
        <v>12</v>
      </c>
      <c r="T355">
        <v>12</v>
      </c>
      <c r="U355" t="s">
        <v>112</v>
      </c>
      <c r="V355" t="s">
        <v>37</v>
      </c>
      <c r="W355">
        <v>450</v>
      </c>
      <c r="X355">
        <v>60</v>
      </c>
      <c r="Y355" t="s">
        <v>38</v>
      </c>
      <c r="Z355">
        <v>20</v>
      </c>
      <c r="AA355" t="s">
        <v>39</v>
      </c>
      <c r="AB355">
        <v>20</v>
      </c>
      <c r="AC355" t="s">
        <v>40</v>
      </c>
    </row>
    <row r="356" spans="1:29" x14ac:dyDescent="0.25">
      <c r="A356" t="str">
        <f t="shared" si="6"/>
        <v>EEM_EG_Pavlovagyrans_raw_002_007_B5.csv</v>
      </c>
      <c r="B356" t="s">
        <v>29</v>
      </c>
      <c r="C356" t="s">
        <v>30</v>
      </c>
      <c r="D356" t="s">
        <v>30</v>
      </c>
      <c r="E356" t="s">
        <v>31</v>
      </c>
      <c r="F356">
        <v>2</v>
      </c>
      <c r="G356">
        <v>7</v>
      </c>
      <c r="H356" t="s">
        <v>45</v>
      </c>
      <c r="I356" t="s">
        <v>33</v>
      </c>
      <c r="J356" t="s">
        <v>34</v>
      </c>
      <c r="K356" s="1">
        <v>0.1759</v>
      </c>
      <c r="L356" t="s">
        <v>30</v>
      </c>
      <c r="M356">
        <v>22</v>
      </c>
      <c r="N356" t="s">
        <v>44</v>
      </c>
      <c r="O356" t="s">
        <v>244</v>
      </c>
      <c r="P356">
        <v>336</v>
      </c>
      <c r="Q356">
        <v>50</v>
      </c>
      <c r="R356" t="s">
        <v>36</v>
      </c>
      <c r="S356">
        <v>12</v>
      </c>
      <c r="T356">
        <v>12</v>
      </c>
      <c r="U356" t="s">
        <v>112</v>
      </c>
      <c r="V356" t="s">
        <v>37</v>
      </c>
      <c r="W356">
        <v>450</v>
      </c>
      <c r="X356">
        <v>60</v>
      </c>
      <c r="Y356" t="s">
        <v>38</v>
      </c>
      <c r="Z356">
        <v>20</v>
      </c>
      <c r="AA356" t="s">
        <v>39</v>
      </c>
      <c r="AB356">
        <v>20</v>
      </c>
      <c r="AC356" t="s">
        <v>40</v>
      </c>
    </row>
    <row r="357" spans="1:29" x14ac:dyDescent="0.25">
      <c r="A357" t="str">
        <f t="shared" si="6"/>
        <v>EEM_EG_Pavlovagyrans_raw_002_007_B6.csv</v>
      </c>
      <c r="B357" t="s">
        <v>29</v>
      </c>
      <c r="C357" t="s">
        <v>30</v>
      </c>
      <c r="D357" t="s">
        <v>30</v>
      </c>
      <c r="E357" t="s">
        <v>31</v>
      </c>
      <c r="F357">
        <v>2</v>
      </c>
      <c r="G357">
        <v>7</v>
      </c>
      <c r="H357" t="s">
        <v>47</v>
      </c>
      <c r="I357" t="s">
        <v>33</v>
      </c>
      <c r="J357" t="s">
        <v>34</v>
      </c>
      <c r="K357" s="1">
        <v>0.17169999999999999</v>
      </c>
      <c r="L357" t="s">
        <v>30</v>
      </c>
      <c r="M357">
        <v>22</v>
      </c>
      <c r="N357" t="s">
        <v>84</v>
      </c>
      <c r="O357" t="s">
        <v>244</v>
      </c>
      <c r="P357">
        <v>336</v>
      </c>
      <c r="Q357">
        <v>50</v>
      </c>
      <c r="R357" t="s">
        <v>36</v>
      </c>
      <c r="S357">
        <v>12</v>
      </c>
      <c r="T357">
        <v>12</v>
      </c>
      <c r="U357" t="s">
        <v>112</v>
      </c>
      <c r="V357" t="s">
        <v>37</v>
      </c>
      <c r="W357">
        <v>450</v>
      </c>
      <c r="X357">
        <v>60</v>
      </c>
      <c r="Y357" t="s">
        <v>38</v>
      </c>
      <c r="Z357">
        <v>20</v>
      </c>
      <c r="AA357" t="s">
        <v>39</v>
      </c>
      <c r="AB357">
        <v>20</v>
      </c>
      <c r="AC357" t="s">
        <v>40</v>
      </c>
    </row>
    <row r="358" spans="1:29" x14ac:dyDescent="0.25">
      <c r="A358" t="str">
        <f t="shared" si="6"/>
        <v>EEM_EG_Pavlovagyrans_raw_002_007_B7.csv</v>
      </c>
      <c r="B358" t="s">
        <v>29</v>
      </c>
      <c r="C358" t="s">
        <v>30</v>
      </c>
      <c r="D358" t="s">
        <v>30</v>
      </c>
      <c r="E358" t="s">
        <v>31</v>
      </c>
      <c r="F358">
        <v>2</v>
      </c>
      <c r="G358">
        <v>7</v>
      </c>
      <c r="H358" t="s">
        <v>49</v>
      </c>
      <c r="I358" t="s">
        <v>33</v>
      </c>
      <c r="J358" t="s">
        <v>34</v>
      </c>
      <c r="K358" s="1">
        <v>0.15989999999999999</v>
      </c>
      <c r="L358" t="s">
        <v>30</v>
      </c>
      <c r="M358">
        <v>22</v>
      </c>
      <c r="N358" t="s">
        <v>46</v>
      </c>
      <c r="O358" t="s">
        <v>244</v>
      </c>
      <c r="P358">
        <v>336</v>
      </c>
      <c r="Q358">
        <v>50</v>
      </c>
      <c r="R358" t="s">
        <v>36</v>
      </c>
      <c r="S358">
        <v>12</v>
      </c>
      <c r="T358">
        <v>12</v>
      </c>
      <c r="U358" t="s">
        <v>112</v>
      </c>
      <c r="V358" t="s">
        <v>37</v>
      </c>
      <c r="W358">
        <v>450</v>
      </c>
      <c r="X358">
        <v>60</v>
      </c>
      <c r="Y358" t="s">
        <v>38</v>
      </c>
      <c r="Z358">
        <v>20</v>
      </c>
      <c r="AA358" t="s">
        <v>39</v>
      </c>
      <c r="AB358">
        <v>20</v>
      </c>
      <c r="AC358" t="s">
        <v>40</v>
      </c>
    </row>
    <row r="359" spans="1:29" x14ac:dyDescent="0.25">
      <c r="A359" t="str">
        <f t="shared" si="6"/>
        <v>EEM_EG_Pavlovagyrans_raw_002_007_B8.csv</v>
      </c>
      <c r="B359" t="s">
        <v>29</v>
      </c>
      <c r="C359" t="s">
        <v>30</v>
      </c>
      <c r="D359" t="s">
        <v>30</v>
      </c>
      <c r="E359" t="s">
        <v>31</v>
      </c>
      <c r="F359">
        <v>2</v>
      </c>
      <c r="G359">
        <v>7</v>
      </c>
      <c r="H359" t="s">
        <v>51</v>
      </c>
      <c r="I359" t="s">
        <v>33</v>
      </c>
      <c r="J359" t="s">
        <v>34</v>
      </c>
      <c r="K359" s="1">
        <v>0.16189999999999999</v>
      </c>
      <c r="L359" t="s">
        <v>30</v>
      </c>
      <c r="M359">
        <v>22</v>
      </c>
      <c r="N359" t="s">
        <v>86</v>
      </c>
      <c r="O359" t="s">
        <v>244</v>
      </c>
      <c r="P359">
        <v>336</v>
      </c>
      <c r="Q359">
        <v>50</v>
      </c>
      <c r="R359" t="s">
        <v>36</v>
      </c>
      <c r="S359">
        <v>12</v>
      </c>
      <c r="T359">
        <v>12</v>
      </c>
      <c r="U359" t="s">
        <v>112</v>
      </c>
      <c r="V359" t="s">
        <v>37</v>
      </c>
      <c r="W359">
        <v>450</v>
      </c>
      <c r="X359">
        <v>60</v>
      </c>
      <c r="Y359" t="s">
        <v>38</v>
      </c>
      <c r="Z359">
        <v>20</v>
      </c>
      <c r="AA359" t="s">
        <v>39</v>
      </c>
      <c r="AB359">
        <v>20</v>
      </c>
      <c r="AC359" t="s">
        <v>40</v>
      </c>
    </row>
    <row r="360" spans="1:29" x14ac:dyDescent="0.25">
      <c r="A360" t="str">
        <f t="shared" si="6"/>
        <v>EEM_EG_Pavlovagyrans_raw_002_007_C1.csv</v>
      </c>
      <c r="B360" t="s">
        <v>29</v>
      </c>
      <c r="C360" t="s">
        <v>30</v>
      </c>
      <c r="D360" t="s">
        <v>30</v>
      </c>
      <c r="E360" t="s">
        <v>31</v>
      </c>
      <c r="F360">
        <v>2</v>
      </c>
      <c r="G360">
        <v>7</v>
      </c>
      <c r="H360" t="s">
        <v>137</v>
      </c>
      <c r="I360" t="s">
        <v>33</v>
      </c>
      <c r="J360" t="s">
        <v>34</v>
      </c>
      <c r="K360" s="1">
        <v>0.12039999999999999</v>
      </c>
      <c r="L360" t="s">
        <v>30</v>
      </c>
      <c r="M360">
        <v>22</v>
      </c>
      <c r="N360" t="s">
        <v>35</v>
      </c>
      <c r="O360" t="s">
        <v>244</v>
      </c>
      <c r="P360">
        <v>336</v>
      </c>
      <c r="Q360">
        <v>50</v>
      </c>
      <c r="R360" t="s">
        <v>36</v>
      </c>
      <c r="S360">
        <v>12</v>
      </c>
      <c r="T360">
        <v>12</v>
      </c>
      <c r="U360" t="s">
        <v>112</v>
      </c>
      <c r="V360" t="s">
        <v>37</v>
      </c>
      <c r="W360">
        <v>450</v>
      </c>
      <c r="X360">
        <v>60</v>
      </c>
      <c r="Y360" t="s">
        <v>38</v>
      </c>
      <c r="Z360">
        <v>20</v>
      </c>
      <c r="AA360" t="s">
        <v>39</v>
      </c>
      <c r="AB360">
        <v>20</v>
      </c>
      <c r="AC360" t="s">
        <v>40</v>
      </c>
    </row>
    <row r="361" spans="1:29" x14ac:dyDescent="0.25">
      <c r="A361" t="str">
        <f t="shared" si="6"/>
        <v>EEM_EG_Pavlovagyrans_raw_002_007_C2.csv</v>
      </c>
      <c r="B361" t="s">
        <v>29</v>
      </c>
      <c r="C361" t="s">
        <v>30</v>
      </c>
      <c r="D361" t="s">
        <v>30</v>
      </c>
      <c r="E361" t="s">
        <v>31</v>
      </c>
      <c r="F361">
        <v>2</v>
      </c>
      <c r="G361">
        <v>7</v>
      </c>
      <c r="H361" t="s">
        <v>59</v>
      </c>
      <c r="I361" t="s">
        <v>33</v>
      </c>
      <c r="J361" t="s">
        <v>34</v>
      </c>
      <c r="K361" s="1">
        <v>0.1744</v>
      </c>
      <c r="L361" t="s">
        <v>30</v>
      </c>
      <c r="M361">
        <v>22</v>
      </c>
      <c r="N361" t="s">
        <v>80</v>
      </c>
      <c r="O361" t="s">
        <v>244</v>
      </c>
      <c r="P361">
        <v>336</v>
      </c>
      <c r="Q361">
        <v>50</v>
      </c>
      <c r="R361" t="s">
        <v>36</v>
      </c>
      <c r="S361">
        <v>12</v>
      </c>
      <c r="T361">
        <v>12</v>
      </c>
      <c r="U361" t="s">
        <v>112</v>
      </c>
      <c r="V361" t="s">
        <v>37</v>
      </c>
      <c r="W361">
        <v>450</v>
      </c>
      <c r="X361">
        <v>60</v>
      </c>
      <c r="Y361" t="s">
        <v>38</v>
      </c>
      <c r="Z361">
        <v>20</v>
      </c>
      <c r="AA361" t="s">
        <v>39</v>
      </c>
      <c r="AB361">
        <v>20</v>
      </c>
      <c r="AC361" t="s">
        <v>40</v>
      </c>
    </row>
    <row r="362" spans="1:29" x14ac:dyDescent="0.25">
      <c r="A362" t="str">
        <f t="shared" si="6"/>
        <v>EEM_EG_Pavlovagyrans_raw_002_007_C3.csv</v>
      </c>
      <c r="B362" t="s">
        <v>29</v>
      </c>
      <c r="C362" t="s">
        <v>30</v>
      </c>
      <c r="D362" t="s">
        <v>30</v>
      </c>
      <c r="E362" t="s">
        <v>31</v>
      </c>
      <c r="F362">
        <v>2</v>
      </c>
      <c r="G362">
        <v>7</v>
      </c>
      <c r="H362" t="s">
        <v>60</v>
      </c>
      <c r="I362" t="s">
        <v>33</v>
      </c>
      <c r="J362" t="s">
        <v>34</v>
      </c>
      <c r="K362" s="1">
        <v>0.17580000000000001</v>
      </c>
      <c r="L362" t="s">
        <v>30</v>
      </c>
      <c r="M362">
        <v>22</v>
      </c>
      <c r="N362" t="s">
        <v>42</v>
      </c>
      <c r="O362" t="s">
        <v>244</v>
      </c>
      <c r="P362">
        <v>336</v>
      </c>
      <c r="Q362">
        <v>50</v>
      </c>
      <c r="R362" t="s">
        <v>36</v>
      </c>
      <c r="S362">
        <v>12</v>
      </c>
      <c r="T362">
        <v>12</v>
      </c>
      <c r="U362" t="s">
        <v>112</v>
      </c>
      <c r="V362" t="s">
        <v>37</v>
      </c>
      <c r="W362">
        <v>450</v>
      </c>
      <c r="X362">
        <v>60</v>
      </c>
      <c r="Y362" t="s">
        <v>38</v>
      </c>
      <c r="Z362">
        <v>20</v>
      </c>
      <c r="AA362" t="s">
        <v>39</v>
      </c>
      <c r="AB362">
        <v>20</v>
      </c>
      <c r="AC362" t="s">
        <v>40</v>
      </c>
    </row>
    <row r="363" spans="1:29" x14ac:dyDescent="0.25">
      <c r="A363" t="str">
        <f t="shared" si="6"/>
        <v>EEM_EG_Pavlovagyrans_raw_002_007_C4.csv</v>
      </c>
      <c r="B363" t="s">
        <v>29</v>
      </c>
      <c r="C363" t="s">
        <v>30</v>
      </c>
      <c r="D363" t="s">
        <v>30</v>
      </c>
      <c r="E363" t="s">
        <v>31</v>
      </c>
      <c r="F363">
        <v>2</v>
      </c>
      <c r="G363">
        <v>7</v>
      </c>
      <c r="H363" t="s">
        <v>61</v>
      </c>
      <c r="I363" t="s">
        <v>33</v>
      </c>
      <c r="J363" t="s">
        <v>34</v>
      </c>
      <c r="K363" s="1">
        <v>0.17580000000000001</v>
      </c>
      <c r="L363" t="s">
        <v>30</v>
      </c>
      <c r="M363">
        <v>22</v>
      </c>
      <c r="N363" t="s">
        <v>82</v>
      </c>
      <c r="O363" t="s">
        <v>244</v>
      </c>
      <c r="P363">
        <v>336</v>
      </c>
      <c r="Q363">
        <v>50</v>
      </c>
      <c r="R363" t="s">
        <v>36</v>
      </c>
      <c r="S363">
        <v>12</v>
      </c>
      <c r="T363">
        <v>12</v>
      </c>
      <c r="U363" t="s">
        <v>112</v>
      </c>
      <c r="V363" t="s">
        <v>37</v>
      </c>
      <c r="W363">
        <v>450</v>
      </c>
      <c r="X363">
        <v>60</v>
      </c>
      <c r="Y363" t="s">
        <v>38</v>
      </c>
      <c r="Z363">
        <v>20</v>
      </c>
      <c r="AA363" t="s">
        <v>39</v>
      </c>
      <c r="AB363">
        <v>20</v>
      </c>
      <c r="AC363" t="s">
        <v>40</v>
      </c>
    </row>
    <row r="364" spans="1:29" x14ac:dyDescent="0.25">
      <c r="A364" t="str">
        <f t="shared" si="6"/>
        <v>EEM_EG_Pavlovagyrans_raw_002_007_C5.csv</v>
      </c>
      <c r="B364" t="s">
        <v>29</v>
      </c>
      <c r="C364" t="s">
        <v>30</v>
      </c>
      <c r="D364" t="s">
        <v>30</v>
      </c>
      <c r="E364" t="s">
        <v>31</v>
      </c>
      <c r="F364">
        <v>2</v>
      </c>
      <c r="G364">
        <v>7</v>
      </c>
      <c r="H364" t="s">
        <v>62</v>
      </c>
      <c r="I364" t="s">
        <v>33</v>
      </c>
      <c r="J364" t="s">
        <v>34</v>
      </c>
      <c r="K364" s="1">
        <v>0.14099999999999999</v>
      </c>
      <c r="L364" t="s">
        <v>30</v>
      </c>
      <c r="M364">
        <v>22</v>
      </c>
      <c r="N364" t="s">
        <v>44</v>
      </c>
      <c r="O364" t="s">
        <v>244</v>
      </c>
      <c r="P364">
        <v>336</v>
      </c>
      <c r="Q364">
        <v>50</v>
      </c>
      <c r="R364" t="s">
        <v>36</v>
      </c>
      <c r="S364">
        <v>12</v>
      </c>
      <c r="T364">
        <v>12</v>
      </c>
      <c r="U364" t="s">
        <v>112</v>
      </c>
      <c r="V364" t="s">
        <v>37</v>
      </c>
      <c r="W364">
        <v>450</v>
      </c>
      <c r="X364">
        <v>60</v>
      </c>
      <c r="Y364" t="s">
        <v>38</v>
      </c>
      <c r="Z364">
        <v>20</v>
      </c>
      <c r="AA364" t="s">
        <v>39</v>
      </c>
      <c r="AB364">
        <v>20</v>
      </c>
      <c r="AC364" t="s">
        <v>40</v>
      </c>
    </row>
    <row r="365" spans="1:29" x14ac:dyDescent="0.25">
      <c r="A365" t="str">
        <f t="shared" si="6"/>
        <v>EEM_EG_Pavlovagyrans_raw_002_007_C6.csv</v>
      </c>
      <c r="B365" t="s">
        <v>29</v>
      </c>
      <c r="C365" t="s">
        <v>30</v>
      </c>
      <c r="D365" t="s">
        <v>30</v>
      </c>
      <c r="E365" t="s">
        <v>31</v>
      </c>
      <c r="F365">
        <v>2</v>
      </c>
      <c r="G365">
        <v>7</v>
      </c>
      <c r="H365" t="s">
        <v>63</v>
      </c>
      <c r="I365" t="s">
        <v>33</v>
      </c>
      <c r="J365" t="s">
        <v>34</v>
      </c>
      <c r="K365" s="1">
        <v>0.1404</v>
      </c>
      <c r="L365" t="s">
        <v>30</v>
      </c>
      <c r="M365">
        <v>22</v>
      </c>
      <c r="N365" t="s">
        <v>84</v>
      </c>
      <c r="O365" t="s">
        <v>244</v>
      </c>
      <c r="P365">
        <v>336</v>
      </c>
      <c r="Q365">
        <v>50</v>
      </c>
      <c r="R365" t="s">
        <v>36</v>
      </c>
      <c r="S365">
        <v>12</v>
      </c>
      <c r="T365">
        <v>12</v>
      </c>
      <c r="U365" t="s">
        <v>112</v>
      </c>
      <c r="V365" t="s">
        <v>37</v>
      </c>
      <c r="W365">
        <v>450</v>
      </c>
      <c r="X365">
        <v>60</v>
      </c>
      <c r="Y365" t="s">
        <v>38</v>
      </c>
      <c r="Z365">
        <v>20</v>
      </c>
      <c r="AA365" t="s">
        <v>39</v>
      </c>
      <c r="AB365">
        <v>20</v>
      </c>
      <c r="AC365" t="s">
        <v>40</v>
      </c>
    </row>
    <row r="366" spans="1:29" x14ac:dyDescent="0.25">
      <c r="A366" t="str">
        <f t="shared" si="6"/>
        <v>EEM_EG_Pavlovagyrans_raw_002_007_C7.csv</v>
      </c>
      <c r="B366" t="s">
        <v>29</v>
      </c>
      <c r="C366" t="s">
        <v>30</v>
      </c>
      <c r="D366" t="s">
        <v>30</v>
      </c>
      <c r="E366" t="s">
        <v>31</v>
      </c>
      <c r="F366">
        <v>2</v>
      </c>
      <c r="G366">
        <v>7</v>
      </c>
      <c r="H366" t="s">
        <v>64</v>
      </c>
      <c r="I366" t="s">
        <v>33</v>
      </c>
      <c r="J366" t="s">
        <v>34</v>
      </c>
      <c r="K366" s="1">
        <v>0.1399</v>
      </c>
      <c r="L366" t="s">
        <v>30</v>
      </c>
      <c r="M366">
        <v>22</v>
      </c>
      <c r="N366" t="s">
        <v>46</v>
      </c>
      <c r="O366" t="s">
        <v>244</v>
      </c>
      <c r="P366">
        <v>336</v>
      </c>
      <c r="Q366">
        <v>50</v>
      </c>
      <c r="R366" t="s">
        <v>36</v>
      </c>
      <c r="S366">
        <v>12</v>
      </c>
      <c r="T366">
        <v>12</v>
      </c>
      <c r="U366" t="s">
        <v>112</v>
      </c>
      <c r="V366" t="s">
        <v>37</v>
      </c>
      <c r="W366">
        <v>450</v>
      </c>
      <c r="X366">
        <v>60</v>
      </c>
      <c r="Y366" t="s">
        <v>38</v>
      </c>
      <c r="Z366">
        <v>20</v>
      </c>
      <c r="AA366" t="s">
        <v>39</v>
      </c>
      <c r="AB366">
        <v>20</v>
      </c>
      <c r="AC366" t="s">
        <v>40</v>
      </c>
    </row>
    <row r="367" spans="1:29" x14ac:dyDescent="0.25">
      <c r="A367" t="str">
        <f t="shared" si="6"/>
        <v>EEM_EG_Pavlovagyrans_raw_002_007_C8.csv</v>
      </c>
      <c r="B367" t="s">
        <v>29</v>
      </c>
      <c r="C367" t="s">
        <v>30</v>
      </c>
      <c r="D367" t="s">
        <v>30</v>
      </c>
      <c r="E367" t="s">
        <v>31</v>
      </c>
      <c r="F367">
        <v>2</v>
      </c>
      <c r="G367">
        <v>7</v>
      </c>
      <c r="H367" t="s">
        <v>65</v>
      </c>
      <c r="I367" t="s">
        <v>33</v>
      </c>
      <c r="J367" t="s">
        <v>34</v>
      </c>
      <c r="K367" s="1">
        <v>0.1527</v>
      </c>
      <c r="L367" t="s">
        <v>30</v>
      </c>
      <c r="M367">
        <v>22</v>
      </c>
      <c r="N367" t="s">
        <v>86</v>
      </c>
      <c r="O367" t="s">
        <v>244</v>
      </c>
      <c r="P367">
        <v>336</v>
      </c>
      <c r="Q367">
        <v>50</v>
      </c>
      <c r="R367" t="s">
        <v>36</v>
      </c>
      <c r="S367">
        <v>12</v>
      </c>
      <c r="T367">
        <v>12</v>
      </c>
      <c r="U367" t="s">
        <v>112</v>
      </c>
      <c r="V367" t="s">
        <v>37</v>
      </c>
      <c r="W367">
        <v>450</v>
      </c>
      <c r="X367">
        <v>60</v>
      </c>
      <c r="Y367" t="s">
        <v>38</v>
      </c>
      <c r="Z367">
        <v>20</v>
      </c>
      <c r="AA367" t="s">
        <v>39</v>
      </c>
      <c r="AB367">
        <v>20</v>
      </c>
      <c r="AC367" t="s">
        <v>40</v>
      </c>
    </row>
    <row r="368" spans="1:29" x14ac:dyDescent="0.25">
      <c r="A368" t="str">
        <f t="shared" si="6"/>
        <v>EEM_EG_Pavlovagyrans_raw_002_007_D1.csv</v>
      </c>
      <c r="B368" t="s">
        <v>29</v>
      </c>
      <c r="C368" t="s">
        <v>30</v>
      </c>
      <c r="D368" t="s">
        <v>30</v>
      </c>
      <c r="E368" t="s">
        <v>31</v>
      </c>
      <c r="F368">
        <v>2</v>
      </c>
      <c r="G368">
        <v>7</v>
      </c>
      <c r="H368" t="s">
        <v>146</v>
      </c>
      <c r="I368" t="s">
        <v>33</v>
      </c>
      <c r="J368" t="s">
        <v>34</v>
      </c>
      <c r="K368" s="1">
        <v>6.6500000000000004E-2</v>
      </c>
      <c r="L368" t="s">
        <v>30</v>
      </c>
      <c r="M368">
        <v>22</v>
      </c>
      <c r="N368" t="s">
        <v>35</v>
      </c>
      <c r="O368" t="s">
        <v>244</v>
      </c>
      <c r="P368">
        <v>336</v>
      </c>
      <c r="Q368">
        <v>50</v>
      </c>
      <c r="R368" t="s">
        <v>36</v>
      </c>
      <c r="S368">
        <v>12</v>
      </c>
      <c r="T368">
        <v>12</v>
      </c>
      <c r="U368" t="s">
        <v>112</v>
      </c>
      <c r="V368" t="s">
        <v>37</v>
      </c>
      <c r="W368">
        <v>450</v>
      </c>
      <c r="X368">
        <v>60</v>
      </c>
      <c r="Y368" t="s">
        <v>38</v>
      </c>
      <c r="Z368">
        <v>20</v>
      </c>
      <c r="AA368" t="s">
        <v>39</v>
      </c>
      <c r="AB368">
        <v>20</v>
      </c>
      <c r="AC368" t="s">
        <v>40</v>
      </c>
    </row>
    <row r="369" spans="1:29" x14ac:dyDescent="0.25">
      <c r="A369" t="str">
        <f t="shared" si="6"/>
        <v>EEM_EG_Pavlovagyrans_raw_002_007_D2.csv</v>
      </c>
      <c r="B369" t="s">
        <v>29</v>
      </c>
      <c r="C369" t="s">
        <v>30</v>
      </c>
      <c r="D369" t="s">
        <v>30</v>
      </c>
      <c r="E369" t="s">
        <v>31</v>
      </c>
      <c r="F369">
        <v>2</v>
      </c>
      <c r="G369">
        <v>7</v>
      </c>
      <c r="H369" t="s">
        <v>69</v>
      </c>
      <c r="I369" t="s">
        <v>33</v>
      </c>
      <c r="J369" t="s">
        <v>34</v>
      </c>
      <c r="K369" s="1">
        <v>0.16200000000000001</v>
      </c>
      <c r="L369" t="s">
        <v>30</v>
      </c>
      <c r="M369">
        <v>22</v>
      </c>
      <c r="N369" t="s">
        <v>80</v>
      </c>
      <c r="O369" t="s">
        <v>244</v>
      </c>
      <c r="P369">
        <v>336</v>
      </c>
      <c r="Q369">
        <v>50</v>
      </c>
      <c r="R369" t="s">
        <v>36</v>
      </c>
      <c r="S369">
        <v>12</v>
      </c>
      <c r="T369">
        <v>12</v>
      </c>
      <c r="U369" t="s">
        <v>112</v>
      </c>
      <c r="V369" t="s">
        <v>37</v>
      </c>
      <c r="W369">
        <v>450</v>
      </c>
      <c r="X369">
        <v>60</v>
      </c>
      <c r="Y369" t="s">
        <v>38</v>
      </c>
      <c r="Z369">
        <v>20</v>
      </c>
      <c r="AA369" t="s">
        <v>39</v>
      </c>
      <c r="AB369">
        <v>20</v>
      </c>
      <c r="AC369" t="s">
        <v>40</v>
      </c>
    </row>
    <row r="370" spans="1:29" x14ac:dyDescent="0.25">
      <c r="A370" t="str">
        <f t="shared" si="6"/>
        <v>EEM_EG_Pavlovagyrans_raw_002_007_D3.csv</v>
      </c>
      <c r="B370" t="s">
        <v>29</v>
      </c>
      <c r="C370" t="s">
        <v>30</v>
      </c>
      <c r="D370" t="s">
        <v>30</v>
      </c>
      <c r="E370" t="s">
        <v>31</v>
      </c>
      <c r="F370">
        <v>2</v>
      </c>
      <c r="G370">
        <v>7</v>
      </c>
      <c r="H370" t="s">
        <v>70</v>
      </c>
      <c r="I370" t="s">
        <v>33</v>
      </c>
      <c r="J370" t="s">
        <v>34</v>
      </c>
      <c r="K370" s="1">
        <v>0.17480000000000001</v>
      </c>
      <c r="L370" t="s">
        <v>30</v>
      </c>
      <c r="M370">
        <v>22</v>
      </c>
      <c r="N370" t="s">
        <v>42</v>
      </c>
      <c r="O370" t="s">
        <v>244</v>
      </c>
      <c r="P370">
        <v>336</v>
      </c>
      <c r="Q370">
        <v>50</v>
      </c>
      <c r="R370" t="s">
        <v>36</v>
      </c>
      <c r="S370">
        <v>12</v>
      </c>
      <c r="T370">
        <v>12</v>
      </c>
      <c r="U370" t="s">
        <v>112</v>
      </c>
      <c r="V370" t="s">
        <v>37</v>
      </c>
      <c r="W370">
        <v>450</v>
      </c>
      <c r="X370">
        <v>60</v>
      </c>
      <c r="Y370" t="s">
        <v>38</v>
      </c>
      <c r="Z370">
        <v>20</v>
      </c>
      <c r="AA370" t="s">
        <v>39</v>
      </c>
      <c r="AB370">
        <v>20</v>
      </c>
      <c r="AC370" t="s">
        <v>40</v>
      </c>
    </row>
    <row r="371" spans="1:29" x14ac:dyDescent="0.25">
      <c r="A371" t="str">
        <f t="shared" si="6"/>
        <v>EEM_EG_Pavlovagyrans_raw_002_007_D4.csv</v>
      </c>
      <c r="B371" t="s">
        <v>29</v>
      </c>
      <c r="C371" t="s">
        <v>30</v>
      </c>
      <c r="D371" t="s">
        <v>30</v>
      </c>
      <c r="E371" t="s">
        <v>31</v>
      </c>
      <c r="F371">
        <v>2</v>
      </c>
      <c r="G371">
        <v>7</v>
      </c>
      <c r="H371" t="s">
        <v>71</v>
      </c>
      <c r="I371" t="s">
        <v>33</v>
      </c>
      <c r="J371" t="s">
        <v>34</v>
      </c>
      <c r="K371" s="1">
        <v>0.14069999999999999</v>
      </c>
      <c r="L371" t="s">
        <v>30</v>
      </c>
      <c r="M371">
        <v>22</v>
      </c>
      <c r="N371" t="s">
        <v>82</v>
      </c>
      <c r="O371" t="s">
        <v>244</v>
      </c>
      <c r="P371">
        <v>336</v>
      </c>
      <c r="Q371">
        <v>50</v>
      </c>
      <c r="R371" t="s">
        <v>36</v>
      </c>
      <c r="S371">
        <v>12</v>
      </c>
      <c r="T371">
        <v>12</v>
      </c>
      <c r="U371" t="s">
        <v>112</v>
      </c>
      <c r="V371" t="s">
        <v>37</v>
      </c>
      <c r="W371">
        <v>450</v>
      </c>
      <c r="X371">
        <v>60</v>
      </c>
      <c r="Y371" t="s">
        <v>38</v>
      </c>
      <c r="Z371">
        <v>20</v>
      </c>
      <c r="AA371" t="s">
        <v>39</v>
      </c>
      <c r="AB371">
        <v>20</v>
      </c>
      <c r="AC371" t="s">
        <v>40</v>
      </c>
    </row>
    <row r="372" spans="1:29" x14ac:dyDescent="0.25">
      <c r="A372" t="str">
        <f t="shared" si="6"/>
        <v>EEM_EG_Pavlovagyrans_raw_002_007_D5.csv</v>
      </c>
      <c r="B372" t="s">
        <v>29</v>
      </c>
      <c r="C372" t="s">
        <v>30</v>
      </c>
      <c r="D372" t="s">
        <v>30</v>
      </c>
      <c r="E372" t="s">
        <v>31</v>
      </c>
      <c r="F372">
        <v>2</v>
      </c>
      <c r="G372">
        <v>7</v>
      </c>
      <c r="H372" t="s">
        <v>72</v>
      </c>
      <c r="I372" t="s">
        <v>33</v>
      </c>
      <c r="J372" t="s">
        <v>34</v>
      </c>
      <c r="K372" s="1">
        <v>0.12570000000000001</v>
      </c>
      <c r="L372" t="s">
        <v>30</v>
      </c>
      <c r="M372">
        <v>22</v>
      </c>
      <c r="N372" t="s">
        <v>44</v>
      </c>
      <c r="O372" t="s">
        <v>244</v>
      </c>
      <c r="P372">
        <v>336</v>
      </c>
      <c r="Q372">
        <v>50</v>
      </c>
      <c r="R372" t="s">
        <v>36</v>
      </c>
      <c r="S372">
        <v>12</v>
      </c>
      <c r="T372">
        <v>12</v>
      </c>
      <c r="U372" t="s">
        <v>112</v>
      </c>
      <c r="V372" t="s">
        <v>37</v>
      </c>
      <c r="W372">
        <v>450</v>
      </c>
      <c r="X372">
        <v>60</v>
      </c>
      <c r="Y372" t="s">
        <v>38</v>
      </c>
      <c r="Z372">
        <v>20</v>
      </c>
      <c r="AA372" t="s">
        <v>39</v>
      </c>
      <c r="AB372">
        <v>20</v>
      </c>
      <c r="AC372" t="s">
        <v>40</v>
      </c>
    </row>
    <row r="373" spans="1:29" x14ac:dyDescent="0.25">
      <c r="A373" t="str">
        <f t="shared" si="6"/>
        <v>EEM_EG_Pavlovagyrans_raw_002_007_D6.csv</v>
      </c>
      <c r="B373" t="s">
        <v>29</v>
      </c>
      <c r="C373" t="s">
        <v>30</v>
      </c>
      <c r="D373" t="s">
        <v>30</v>
      </c>
      <c r="E373" t="s">
        <v>31</v>
      </c>
      <c r="F373">
        <v>2</v>
      </c>
      <c r="G373">
        <v>7</v>
      </c>
      <c r="H373" t="s">
        <v>73</v>
      </c>
      <c r="I373" t="s">
        <v>33</v>
      </c>
      <c r="J373" t="s">
        <v>34</v>
      </c>
      <c r="K373" s="1">
        <v>0.14119999999999999</v>
      </c>
      <c r="L373" t="s">
        <v>30</v>
      </c>
      <c r="M373">
        <v>22</v>
      </c>
      <c r="N373" t="s">
        <v>84</v>
      </c>
      <c r="O373" t="s">
        <v>244</v>
      </c>
      <c r="P373">
        <v>336</v>
      </c>
      <c r="Q373">
        <v>50</v>
      </c>
      <c r="R373" t="s">
        <v>36</v>
      </c>
      <c r="S373">
        <v>12</v>
      </c>
      <c r="T373">
        <v>12</v>
      </c>
      <c r="U373" t="s">
        <v>112</v>
      </c>
      <c r="V373" t="s">
        <v>37</v>
      </c>
      <c r="W373">
        <v>450</v>
      </c>
      <c r="X373">
        <v>60</v>
      </c>
      <c r="Y373" t="s">
        <v>38</v>
      </c>
      <c r="Z373">
        <v>20</v>
      </c>
      <c r="AA373" t="s">
        <v>39</v>
      </c>
      <c r="AB373">
        <v>20</v>
      </c>
      <c r="AC373" t="s">
        <v>40</v>
      </c>
    </row>
    <row r="374" spans="1:29" x14ac:dyDescent="0.25">
      <c r="A374" t="str">
        <f t="shared" si="6"/>
        <v>EEM_EG_Pavlovagyrans_raw_002_007_D7.csv</v>
      </c>
      <c r="B374" t="s">
        <v>29</v>
      </c>
      <c r="C374" t="s">
        <v>30</v>
      </c>
      <c r="D374" t="s">
        <v>30</v>
      </c>
      <c r="E374" t="s">
        <v>31</v>
      </c>
      <c r="F374">
        <v>2</v>
      </c>
      <c r="G374">
        <v>7</v>
      </c>
      <c r="H374" t="s">
        <v>74</v>
      </c>
      <c r="I374" t="s">
        <v>33</v>
      </c>
      <c r="J374" t="s">
        <v>34</v>
      </c>
      <c r="K374" s="1">
        <v>0.13469999999999999</v>
      </c>
      <c r="L374" t="s">
        <v>30</v>
      </c>
      <c r="M374">
        <v>22</v>
      </c>
      <c r="N374" t="s">
        <v>46</v>
      </c>
      <c r="O374" t="s">
        <v>244</v>
      </c>
      <c r="P374">
        <v>336</v>
      </c>
      <c r="Q374">
        <v>50</v>
      </c>
      <c r="R374" t="s">
        <v>36</v>
      </c>
      <c r="S374">
        <v>12</v>
      </c>
      <c r="T374">
        <v>12</v>
      </c>
      <c r="U374" t="s">
        <v>112</v>
      </c>
      <c r="V374" t="s">
        <v>37</v>
      </c>
      <c r="W374">
        <v>450</v>
      </c>
      <c r="X374">
        <v>60</v>
      </c>
      <c r="Y374" t="s">
        <v>38</v>
      </c>
      <c r="Z374">
        <v>20</v>
      </c>
      <c r="AA374" t="s">
        <v>39</v>
      </c>
      <c r="AB374">
        <v>20</v>
      </c>
      <c r="AC374" t="s">
        <v>40</v>
      </c>
    </row>
    <row r="375" spans="1:29" x14ac:dyDescent="0.25">
      <c r="A375" t="str">
        <f t="shared" si="6"/>
        <v>EEM_EG_Pavlovagyrans_raw_002_007_D8.csv</v>
      </c>
      <c r="B375" t="s">
        <v>29</v>
      </c>
      <c r="C375" t="s">
        <v>30</v>
      </c>
      <c r="D375" t="s">
        <v>30</v>
      </c>
      <c r="E375" t="s">
        <v>31</v>
      </c>
      <c r="F375">
        <v>2</v>
      </c>
      <c r="G375">
        <v>7</v>
      </c>
      <c r="H375" t="s">
        <v>75</v>
      </c>
      <c r="I375" t="s">
        <v>33</v>
      </c>
      <c r="J375" t="s">
        <v>34</v>
      </c>
      <c r="K375" s="1">
        <v>0.20100000000000001</v>
      </c>
      <c r="L375" t="s">
        <v>30</v>
      </c>
      <c r="M375">
        <v>22</v>
      </c>
      <c r="N375" t="s">
        <v>86</v>
      </c>
      <c r="O375" t="s">
        <v>244</v>
      </c>
      <c r="P375">
        <v>336</v>
      </c>
      <c r="Q375">
        <v>50</v>
      </c>
      <c r="R375" t="s">
        <v>36</v>
      </c>
      <c r="S375">
        <v>12</v>
      </c>
      <c r="T375">
        <v>12</v>
      </c>
      <c r="U375" t="s">
        <v>112</v>
      </c>
      <c r="V375" t="s">
        <v>37</v>
      </c>
      <c r="W375">
        <v>450</v>
      </c>
      <c r="X375">
        <v>60</v>
      </c>
      <c r="Y375" t="s">
        <v>38</v>
      </c>
      <c r="Z375">
        <v>20</v>
      </c>
      <c r="AA375" t="s">
        <v>39</v>
      </c>
      <c r="AB375">
        <v>20</v>
      </c>
      <c r="AC375" t="s">
        <v>40</v>
      </c>
    </row>
    <row r="376" spans="1:29" x14ac:dyDescent="0.25">
      <c r="A376" t="str">
        <f t="shared" si="6"/>
        <v>EEM_EG_Pavlovagyrans_raw_002_007_E1.csv</v>
      </c>
      <c r="B376" t="s">
        <v>29</v>
      </c>
      <c r="C376" t="s">
        <v>30</v>
      </c>
      <c r="D376" t="s">
        <v>30</v>
      </c>
      <c r="E376" t="s">
        <v>31</v>
      </c>
      <c r="F376">
        <v>2</v>
      </c>
      <c r="G376">
        <v>7</v>
      </c>
      <c r="H376" t="s">
        <v>155</v>
      </c>
      <c r="I376" t="s">
        <v>33</v>
      </c>
      <c r="J376" t="s">
        <v>34</v>
      </c>
      <c r="K376" s="1">
        <v>0.16930000000000001</v>
      </c>
      <c r="L376" t="s">
        <v>30</v>
      </c>
      <c r="M376">
        <v>22</v>
      </c>
      <c r="N376" t="s">
        <v>35</v>
      </c>
      <c r="O376" t="s">
        <v>244</v>
      </c>
      <c r="P376">
        <v>336</v>
      </c>
      <c r="Q376">
        <v>50</v>
      </c>
      <c r="R376" t="s">
        <v>36</v>
      </c>
      <c r="S376">
        <v>12</v>
      </c>
      <c r="T376">
        <v>12</v>
      </c>
      <c r="U376" t="s">
        <v>112</v>
      </c>
      <c r="V376" t="s">
        <v>37</v>
      </c>
      <c r="W376">
        <v>450</v>
      </c>
      <c r="X376">
        <v>60</v>
      </c>
      <c r="Y376" t="s">
        <v>38</v>
      </c>
      <c r="Z376">
        <v>20</v>
      </c>
      <c r="AA376" t="s">
        <v>39</v>
      </c>
      <c r="AB376">
        <v>20</v>
      </c>
      <c r="AC376" t="s">
        <v>40</v>
      </c>
    </row>
    <row r="377" spans="1:29" x14ac:dyDescent="0.25">
      <c r="A377" t="str">
        <f t="shared" si="6"/>
        <v>EEM_EG_Pavlovagyrans_raw_002_007_E2.csv</v>
      </c>
      <c r="B377" t="s">
        <v>29</v>
      </c>
      <c r="C377" t="s">
        <v>30</v>
      </c>
      <c r="D377" t="s">
        <v>30</v>
      </c>
      <c r="E377" t="s">
        <v>31</v>
      </c>
      <c r="F377">
        <v>2</v>
      </c>
      <c r="G377">
        <v>7</v>
      </c>
      <c r="H377" t="s">
        <v>79</v>
      </c>
      <c r="I377" t="s">
        <v>33</v>
      </c>
      <c r="J377" t="s">
        <v>34</v>
      </c>
      <c r="K377" s="1">
        <v>0.215</v>
      </c>
      <c r="L377" t="s">
        <v>30</v>
      </c>
      <c r="M377">
        <v>22</v>
      </c>
      <c r="N377" t="s">
        <v>80</v>
      </c>
      <c r="O377" t="s">
        <v>244</v>
      </c>
      <c r="P377">
        <v>336</v>
      </c>
      <c r="Q377">
        <v>50</v>
      </c>
      <c r="R377" t="s">
        <v>36</v>
      </c>
      <c r="S377">
        <v>12</v>
      </c>
      <c r="T377">
        <v>12</v>
      </c>
      <c r="U377" t="s">
        <v>112</v>
      </c>
      <c r="V377" t="s">
        <v>37</v>
      </c>
      <c r="W377">
        <v>450</v>
      </c>
      <c r="X377">
        <v>60</v>
      </c>
      <c r="Y377" t="s">
        <v>38</v>
      </c>
      <c r="Z377">
        <v>20</v>
      </c>
      <c r="AA377" t="s">
        <v>39</v>
      </c>
      <c r="AB377">
        <v>20</v>
      </c>
      <c r="AC377" t="s">
        <v>40</v>
      </c>
    </row>
    <row r="378" spans="1:29" x14ac:dyDescent="0.25">
      <c r="A378" t="str">
        <f t="shared" si="6"/>
        <v>EEM_EG_Pavlovagyrans_raw_002_007_E3.csv</v>
      </c>
      <c r="B378" t="s">
        <v>29</v>
      </c>
      <c r="C378" t="s">
        <v>30</v>
      </c>
      <c r="D378" t="s">
        <v>30</v>
      </c>
      <c r="E378" t="s">
        <v>31</v>
      </c>
      <c r="F378">
        <v>2</v>
      </c>
      <c r="G378">
        <v>7</v>
      </c>
      <c r="H378" t="s">
        <v>81</v>
      </c>
      <c r="I378" t="s">
        <v>33</v>
      </c>
      <c r="J378" t="s">
        <v>34</v>
      </c>
      <c r="K378" s="1">
        <v>0.17960000000000001</v>
      </c>
      <c r="L378" t="s">
        <v>30</v>
      </c>
      <c r="M378">
        <v>22</v>
      </c>
      <c r="N378" t="s">
        <v>42</v>
      </c>
      <c r="O378" t="s">
        <v>244</v>
      </c>
      <c r="P378">
        <v>336</v>
      </c>
      <c r="Q378">
        <v>50</v>
      </c>
      <c r="R378" t="s">
        <v>36</v>
      </c>
      <c r="S378">
        <v>12</v>
      </c>
      <c r="T378">
        <v>12</v>
      </c>
      <c r="U378" t="s">
        <v>112</v>
      </c>
      <c r="V378" t="s">
        <v>37</v>
      </c>
      <c r="W378">
        <v>450</v>
      </c>
      <c r="X378">
        <v>60</v>
      </c>
      <c r="Y378" t="s">
        <v>38</v>
      </c>
      <c r="Z378">
        <v>20</v>
      </c>
      <c r="AA378" t="s">
        <v>39</v>
      </c>
      <c r="AB378">
        <v>20</v>
      </c>
      <c r="AC378" t="s">
        <v>40</v>
      </c>
    </row>
    <row r="379" spans="1:29" x14ac:dyDescent="0.25">
      <c r="A379" t="str">
        <f t="shared" si="6"/>
        <v>EEM_EG_Pavlovagyrans_raw_002_007_E4.csv</v>
      </c>
      <c r="B379" t="s">
        <v>29</v>
      </c>
      <c r="C379" t="s">
        <v>30</v>
      </c>
      <c r="D379" t="s">
        <v>30</v>
      </c>
      <c r="E379" t="s">
        <v>31</v>
      </c>
      <c r="F379">
        <v>2</v>
      </c>
      <c r="G379">
        <v>7</v>
      </c>
      <c r="H379" t="s">
        <v>83</v>
      </c>
      <c r="I379" t="s">
        <v>33</v>
      </c>
      <c r="J379" t="s">
        <v>34</v>
      </c>
      <c r="K379" s="1">
        <v>0.2185</v>
      </c>
      <c r="L379" t="s">
        <v>30</v>
      </c>
      <c r="M379">
        <v>22</v>
      </c>
      <c r="N379" t="s">
        <v>82</v>
      </c>
      <c r="O379" t="s">
        <v>244</v>
      </c>
      <c r="P379">
        <v>336</v>
      </c>
      <c r="Q379">
        <v>50</v>
      </c>
      <c r="R379" t="s">
        <v>36</v>
      </c>
      <c r="S379">
        <v>12</v>
      </c>
      <c r="T379">
        <v>12</v>
      </c>
      <c r="U379" t="s">
        <v>112</v>
      </c>
      <c r="V379" t="s">
        <v>37</v>
      </c>
      <c r="W379">
        <v>450</v>
      </c>
      <c r="X379">
        <v>60</v>
      </c>
      <c r="Y379" t="s">
        <v>38</v>
      </c>
      <c r="Z379">
        <v>20</v>
      </c>
      <c r="AA379" t="s">
        <v>39</v>
      </c>
      <c r="AB379">
        <v>20</v>
      </c>
      <c r="AC379" t="s">
        <v>40</v>
      </c>
    </row>
    <row r="380" spans="1:29" x14ac:dyDescent="0.25">
      <c r="A380" t="str">
        <f t="shared" si="6"/>
        <v>EEM_EG_Pavlovagyrans_raw_002_007_E5.csv</v>
      </c>
      <c r="B380" t="s">
        <v>29</v>
      </c>
      <c r="C380" t="s">
        <v>30</v>
      </c>
      <c r="D380" t="s">
        <v>30</v>
      </c>
      <c r="E380" t="s">
        <v>31</v>
      </c>
      <c r="F380">
        <v>2</v>
      </c>
      <c r="G380">
        <v>7</v>
      </c>
      <c r="H380" t="s">
        <v>85</v>
      </c>
      <c r="I380" t="s">
        <v>33</v>
      </c>
      <c r="J380" t="s">
        <v>34</v>
      </c>
      <c r="K380" s="1">
        <v>0.16259999999999999</v>
      </c>
      <c r="L380" t="s">
        <v>30</v>
      </c>
      <c r="M380">
        <v>22</v>
      </c>
      <c r="N380" t="s">
        <v>44</v>
      </c>
      <c r="O380" t="s">
        <v>244</v>
      </c>
      <c r="P380">
        <v>336</v>
      </c>
      <c r="Q380">
        <v>50</v>
      </c>
      <c r="R380" t="s">
        <v>36</v>
      </c>
      <c r="S380">
        <v>12</v>
      </c>
      <c r="T380">
        <v>12</v>
      </c>
      <c r="U380" t="s">
        <v>112</v>
      </c>
      <c r="V380" t="s">
        <v>37</v>
      </c>
      <c r="W380">
        <v>450</v>
      </c>
      <c r="X380">
        <v>60</v>
      </c>
      <c r="Y380" t="s">
        <v>38</v>
      </c>
      <c r="Z380">
        <v>20</v>
      </c>
      <c r="AA380" t="s">
        <v>39</v>
      </c>
      <c r="AB380">
        <v>20</v>
      </c>
      <c r="AC380" t="s">
        <v>40</v>
      </c>
    </row>
    <row r="381" spans="1:29" x14ac:dyDescent="0.25">
      <c r="A381" t="str">
        <f t="shared" si="6"/>
        <v>EEM_EG_Pavlovagyrans_raw_002_007_E6.csv</v>
      </c>
      <c r="B381" t="s">
        <v>29</v>
      </c>
      <c r="C381" t="s">
        <v>30</v>
      </c>
      <c r="D381" t="s">
        <v>30</v>
      </c>
      <c r="E381" t="s">
        <v>31</v>
      </c>
      <c r="F381">
        <v>2</v>
      </c>
      <c r="G381">
        <v>7</v>
      </c>
      <c r="H381" t="s">
        <v>87</v>
      </c>
      <c r="I381" t="s">
        <v>33</v>
      </c>
      <c r="J381" t="s">
        <v>34</v>
      </c>
      <c r="K381" s="1">
        <v>0.13869999999999999</v>
      </c>
      <c r="L381" t="s">
        <v>30</v>
      </c>
      <c r="M381">
        <v>22</v>
      </c>
      <c r="N381" t="s">
        <v>84</v>
      </c>
      <c r="O381" t="s">
        <v>244</v>
      </c>
      <c r="P381">
        <v>336</v>
      </c>
      <c r="Q381">
        <v>50</v>
      </c>
      <c r="R381" t="s">
        <v>36</v>
      </c>
      <c r="S381">
        <v>12</v>
      </c>
      <c r="T381">
        <v>12</v>
      </c>
      <c r="U381" t="s">
        <v>112</v>
      </c>
      <c r="V381" t="s">
        <v>37</v>
      </c>
      <c r="W381">
        <v>450</v>
      </c>
      <c r="X381">
        <v>60</v>
      </c>
      <c r="Y381" t="s">
        <v>38</v>
      </c>
      <c r="Z381">
        <v>20</v>
      </c>
      <c r="AA381" t="s">
        <v>39</v>
      </c>
      <c r="AB381">
        <v>20</v>
      </c>
      <c r="AC381" t="s">
        <v>40</v>
      </c>
    </row>
    <row r="382" spans="1:29" x14ac:dyDescent="0.25">
      <c r="A382" t="str">
        <f t="shared" si="6"/>
        <v>EEM_EG_Pavlovagyrans_raw_002_007_E7.csv</v>
      </c>
      <c r="B382" t="s">
        <v>29</v>
      </c>
      <c r="C382" t="s">
        <v>30</v>
      </c>
      <c r="D382" t="s">
        <v>30</v>
      </c>
      <c r="E382" t="s">
        <v>31</v>
      </c>
      <c r="F382">
        <v>2</v>
      </c>
      <c r="G382">
        <v>7</v>
      </c>
      <c r="H382" t="s">
        <v>89</v>
      </c>
      <c r="I382" t="s">
        <v>33</v>
      </c>
      <c r="J382" t="s">
        <v>34</v>
      </c>
      <c r="K382" s="1">
        <v>0.1376</v>
      </c>
      <c r="L382" t="s">
        <v>30</v>
      </c>
      <c r="M382">
        <v>22</v>
      </c>
      <c r="N382" t="s">
        <v>46</v>
      </c>
      <c r="O382" t="s">
        <v>244</v>
      </c>
      <c r="P382">
        <v>336</v>
      </c>
      <c r="Q382">
        <v>50</v>
      </c>
      <c r="R382" t="s">
        <v>36</v>
      </c>
      <c r="S382">
        <v>12</v>
      </c>
      <c r="T382">
        <v>12</v>
      </c>
      <c r="U382" t="s">
        <v>112</v>
      </c>
      <c r="V382" t="s">
        <v>37</v>
      </c>
      <c r="W382">
        <v>450</v>
      </c>
      <c r="X382">
        <v>60</v>
      </c>
      <c r="Y382" t="s">
        <v>38</v>
      </c>
      <c r="Z382">
        <v>20</v>
      </c>
      <c r="AA382" t="s">
        <v>39</v>
      </c>
      <c r="AB382">
        <v>20</v>
      </c>
      <c r="AC382" t="s">
        <v>40</v>
      </c>
    </row>
    <row r="383" spans="1:29" x14ac:dyDescent="0.25">
      <c r="A383" t="str">
        <f t="shared" si="6"/>
        <v>EEM_EG_Pavlovagyrans_raw_002_007_E8.csv</v>
      </c>
      <c r="B383" t="s">
        <v>29</v>
      </c>
      <c r="C383" t="s">
        <v>30</v>
      </c>
      <c r="D383" t="s">
        <v>30</v>
      </c>
      <c r="E383" t="s">
        <v>31</v>
      </c>
      <c r="F383">
        <v>2</v>
      </c>
      <c r="G383">
        <v>7</v>
      </c>
      <c r="H383" t="s">
        <v>91</v>
      </c>
      <c r="I383" t="s">
        <v>33</v>
      </c>
      <c r="J383" t="s">
        <v>34</v>
      </c>
      <c r="K383" s="1">
        <v>0.13200000000000001</v>
      </c>
      <c r="L383" t="s">
        <v>30</v>
      </c>
      <c r="M383">
        <v>22</v>
      </c>
      <c r="N383" t="s">
        <v>86</v>
      </c>
      <c r="O383" t="s">
        <v>244</v>
      </c>
      <c r="P383">
        <v>336</v>
      </c>
      <c r="Q383">
        <v>50</v>
      </c>
      <c r="R383" t="s">
        <v>36</v>
      </c>
      <c r="S383">
        <v>12</v>
      </c>
      <c r="T383">
        <v>12</v>
      </c>
      <c r="U383" t="s">
        <v>112</v>
      </c>
      <c r="V383" t="s">
        <v>37</v>
      </c>
      <c r="W383">
        <v>450</v>
      </c>
      <c r="X383">
        <v>60</v>
      </c>
      <c r="Y383" t="s">
        <v>38</v>
      </c>
      <c r="Z383">
        <v>20</v>
      </c>
      <c r="AA383" t="s">
        <v>39</v>
      </c>
      <c r="AB383">
        <v>20</v>
      </c>
      <c r="AC383" t="s">
        <v>40</v>
      </c>
    </row>
    <row r="384" spans="1:29" x14ac:dyDescent="0.25">
      <c r="A384" t="str">
        <f t="shared" si="6"/>
        <v>EEM_EG_Pavlovagyrans_raw_002_007_F1.csv</v>
      </c>
      <c r="B384" t="s">
        <v>29</v>
      </c>
      <c r="C384" t="s">
        <v>30</v>
      </c>
      <c r="D384" t="s">
        <v>30</v>
      </c>
      <c r="E384" t="s">
        <v>31</v>
      </c>
      <c r="F384">
        <v>2</v>
      </c>
      <c r="G384">
        <v>7</v>
      </c>
      <c r="H384" t="s">
        <v>164</v>
      </c>
      <c r="I384" t="s">
        <v>33</v>
      </c>
      <c r="J384" t="s">
        <v>34</v>
      </c>
      <c r="K384" s="1">
        <v>7.0199999999999999E-2</v>
      </c>
      <c r="L384" t="s">
        <v>30</v>
      </c>
      <c r="M384">
        <v>22</v>
      </c>
      <c r="N384" t="s">
        <v>35</v>
      </c>
      <c r="O384" t="s">
        <v>244</v>
      </c>
      <c r="P384">
        <v>336</v>
      </c>
      <c r="Q384">
        <v>50</v>
      </c>
      <c r="R384" t="s">
        <v>36</v>
      </c>
      <c r="S384">
        <v>12</v>
      </c>
      <c r="T384">
        <v>12</v>
      </c>
      <c r="U384" t="s">
        <v>112</v>
      </c>
      <c r="V384" t="s">
        <v>37</v>
      </c>
      <c r="W384">
        <v>450</v>
      </c>
      <c r="X384">
        <v>60</v>
      </c>
      <c r="Y384" t="s">
        <v>38</v>
      </c>
      <c r="Z384">
        <v>20</v>
      </c>
      <c r="AA384" t="s">
        <v>39</v>
      </c>
      <c r="AB384">
        <v>20</v>
      </c>
      <c r="AC384" t="s">
        <v>40</v>
      </c>
    </row>
    <row r="385" spans="1:29" x14ac:dyDescent="0.25">
      <c r="A385" t="str">
        <f t="shared" si="6"/>
        <v>EEM_EG_Pavlovagyrans_raw_002_007_F2.csv</v>
      </c>
      <c r="B385" t="s">
        <v>29</v>
      </c>
      <c r="C385" t="s">
        <v>30</v>
      </c>
      <c r="D385" t="s">
        <v>30</v>
      </c>
      <c r="E385" t="s">
        <v>31</v>
      </c>
      <c r="F385">
        <v>2</v>
      </c>
      <c r="G385">
        <v>7</v>
      </c>
      <c r="H385" t="s">
        <v>98</v>
      </c>
      <c r="I385" t="s">
        <v>33</v>
      </c>
      <c r="J385" t="s">
        <v>34</v>
      </c>
      <c r="K385" s="1">
        <v>0.1583</v>
      </c>
      <c r="L385" t="s">
        <v>30</v>
      </c>
      <c r="M385">
        <v>22</v>
      </c>
      <c r="N385" t="s">
        <v>80</v>
      </c>
      <c r="O385" t="s">
        <v>244</v>
      </c>
      <c r="P385">
        <v>336</v>
      </c>
      <c r="Q385">
        <v>50</v>
      </c>
      <c r="R385" t="s">
        <v>36</v>
      </c>
      <c r="S385">
        <v>12</v>
      </c>
      <c r="T385">
        <v>12</v>
      </c>
      <c r="U385" t="s">
        <v>112</v>
      </c>
      <c r="V385" t="s">
        <v>37</v>
      </c>
      <c r="W385">
        <v>450</v>
      </c>
      <c r="X385">
        <v>60</v>
      </c>
      <c r="Y385" t="s">
        <v>38</v>
      </c>
      <c r="Z385">
        <v>20</v>
      </c>
      <c r="AA385" t="s">
        <v>39</v>
      </c>
      <c r="AB385">
        <v>20</v>
      </c>
      <c r="AC385" t="s">
        <v>40</v>
      </c>
    </row>
    <row r="386" spans="1:29" x14ac:dyDescent="0.25">
      <c r="A386" t="str">
        <f t="shared" si="6"/>
        <v>EEM_EG_Pavlovagyrans_raw_002_007_F3.csv</v>
      </c>
      <c r="B386" t="s">
        <v>29</v>
      </c>
      <c r="C386" t="s">
        <v>30</v>
      </c>
      <c r="D386" t="s">
        <v>30</v>
      </c>
      <c r="E386" t="s">
        <v>31</v>
      </c>
      <c r="F386">
        <v>2</v>
      </c>
      <c r="G386">
        <v>7</v>
      </c>
      <c r="H386" t="s">
        <v>99</v>
      </c>
      <c r="I386" t="s">
        <v>33</v>
      </c>
      <c r="J386" t="s">
        <v>34</v>
      </c>
      <c r="K386" s="1">
        <v>0.17299999999999999</v>
      </c>
      <c r="L386" t="s">
        <v>30</v>
      </c>
      <c r="M386">
        <v>22</v>
      </c>
      <c r="N386" t="s">
        <v>42</v>
      </c>
      <c r="O386" t="s">
        <v>244</v>
      </c>
      <c r="P386">
        <v>336</v>
      </c>
      <c r="Q386">
        <v>50</v>
      </c>
      <c r="R386" t="s">
        <v>36</v>
      </c>
      <c r="S386">
        <v>12</v>
      </c>
      <c r="T386">
        <v>12</v>
      </c>
      <c r="U386" t="s">
        <v>112</v>
      </c>
      <c r="V386" t="s">
        <v>37</v>
      </c>
      <c r="W386">
        <v>450</v>
      </c>
      <c r="X386">
        <v>60</v>
      </c>
      <c r="Y386" t="s">
        <v>38</v>
      </c>
      <c r="Z386">
        <v>20</v>
      </c>
      <c r="AA386" t="s">
        <v>39</v>
      </c>
      <c r="AB386">
        <v>20</v>
      </c>
      <c r="AC386" t="s">
        <v>40</v>
      </c>
    </row>
    <row r="387" spans="1:29" x14ac:dyDescent="0.25">
      <c r="A387" t="str">
        <f t="shared" si="6"/>
        <v>EEM_EG_Pavlovagyrans_raw_002_007_F4.csv</v>
      </c>
      <c r="B387" t="s">
        <v>29</v>
      </c>
      <c r="C387" t="s">
        <v>30</v>
      </c>
      <c r="D387" t="s">
        <v>30</v>
      </c>
      <c r="E387" t="s">
        <v>31</v>
      </c>
      <c r="F387">
        <v>2</v>
      </c>
      <c r="G387">
        <v>7</v>
      </c>
      <c r="H387" t="s">
        <v>100</v>
      </c>
      <c r="I387" t="s">
        <v>33</v>
      </c>
      <c r="J387" t="s">
        <v>34</v>
      </c>
      <c r="K387" s="1">
        <v>0.2064</v>
      </c>
      <c r="L387" t="s">
        <v>30</v>
      </c>
      <c r="M387">
        <v>22</v>
      </c>
      <c r="N387" t="s">
        <v>82</v>
      </c>
      <c r="O387" t="s">
        <v>244</v>
      </c>
      <c r="P387">
        <v>336</v>
      </c>
      <c r="Q387">
        <v>50</v>
      </c>
      <c r="R387" t="s">
        <v>36</v>
      </c>
      <c r="S387">
        <v>12</v>
      </c>
      <c r="T387">
        <v>12</v>
      </c>
      <c r="U387" t="s">
        <v>112</v>
      </c>
      <c r="V387" t="s">
        <v>37</v>
      </c>
      <c r="W387">
        <v>450</v>
      </c>
      <c r="X387">
        <v>60</v>
      </c>
      <c r="Y387" t="s">
        <v>38</v>
      </c>
      <c r="Z387">
        <v>20</v>
      </c>
      <c r="AA387" t="s">
        <v>39</v>
      </c>
      <c r="AB387">
        <v>20</v>
      </c>
      <c r="AC387" t="s">
        <v>40</v>
      </c>
    </row>
    <row r="388" spans="1:29" x14ac:dyDescent="0.25">
      <c r="A388" t="str">
        <f t="shared" si="6"/>
        <v>EEM_EG_Pavlovagyrans_raw_002_007_F5.csv</v>
      </c>
      <c r="B388" t="s">
        <v>29</v>
      </c>
      <c r="C388" t="s">
        <v>30</v>
      </c>
      <c r="D388" t="s">
        <v>30</v>
      </c>
      <c r="E388" t="s">
        <v>31</v>
      </c>
      <c r="F388">
        <v>2</v>
      </c>
      <c r="G388">
        <v>7</v>
      </c>
      <c r="H388" t="s">
        <v>101</v>
      </c>
      <c r="I388" t="s">
        <v>33</v>
      </c>
      <c r="J388" t="s">
        <v>34</v>
      </c>
      <c r="K388" s="1">
        <v>0.14910000000000001</v>
      </c>
      <c r="L388" t="s">
        <v>30</v>
      </c>
      <c r="M388">
        <v>22</v>
      </c>
      <c r="N388" t="s">
        <v>44</v>
      </c>
      <c r="O388" t="s">
        <v>244</v>
      </c>
      <c r="P388">
        <v>336</v>
      </c>
      <c r="Q388">
        <v>50</v>
      </c>
      <c r="R388" t="s">
        <v>36</v>
      </c>
      <c r="S388">
        <v>12</v>
      </c>
      <c r="T388">
        <v>12</v>
      </c>
      <c r="U388" t="s">
        <v>112</v>
      </c>
      <c r="V388" t="s">
        <v>37</v>
      </c>
      <c r="W388">
        <v>450</v>
      </c>
      <c r="X388">
        <v>60</v>
      </c>
      <c r="Y388" t="s">
        <v>38</v>
      </c>
      <c r="Z388">
        <v>20</v>
      </c>
      <c r="AA388" t="s">
        <v>39</v>
      </c>
      <c r="AB388">
        <v>20</v>
      </c>
      <c r="AC388" t="s">
        <v>40</v>
      </c>
    </row>
    <row r="389" spans="1:29" x14ac:dyDescent="0.25">
      <c r="A389" t="str">
        <f t="shared" si="6"/>
        <v>EEM_EG_Pavlovagyrans_raw_002_007_F6.csv</v>
      </c>
      <c r="B389" t="s">
        <v>29</v>
      </c>
      <c r="C389" t="s">
        <v>30</v>
      </c>
      <c r="D389" t="s">
        <v>30</v>
      </c>
      <c r="E389" t="s">
        <v>31</v>
      </c>
      <c r="F389">
        <v>2</v>
      </c>
      <c r="G389">
        <v>7</v>
      </c>
      <c r="H389" t="s">
        <v>102</v>
      </c>
      <c r="I389" t="s">
        <v>33</v>
      </c>
      <c r="J389" t="s">
        <v>34</v>
      </c>
      <c r="K389" s="1">
        <v>0.1366</v>
      </c>
      <c r="L389" t="s">
        <v>30</v>
      </c>
      <c r="M389">
        <v>22</v>
      </c>
      <c r="N389" t="s">
        <v>84</v>
      </c>
      <c r="O389" t="s">
        <v>244</v>
      </c>
      <c r="P389">
        <v>336</v>
      </c>
      <c r="Q389">
        <v>50</v>
      </c>
      <c r="R389" t="s">
        <v>36</v>
      </c>
      <c r="S389">
        <v>12</v>
      </c>
      <c r="T389">
        <v>12</v>
      </c>
      <c r="U389" t="s">
        <v>112</v>
      </c>
      <c r="V389" t="s">
        <v>37</v>
      </c>
      <c r="W389">
        <v>450</v>
      </c>
      <c r="X389">
        <v>60</v>
      </c>
      <c r="Y389" t="s">
        <v>38</v>
      </c>
      <c r="Z389">
        <v>20</v>
      </c>
      <c r="AA389" t="s">
        <v>39</v>
      </c>
      <c r="AB389">
        <v>20</v>
      </c>
      <c r="AC389" t="s">
        <v>40</v>
      </c>
    </row>
    <row r="390" spans="1:29" x14ac:dyDescent="0.25">
      <c r="A390" t="str">
        <f t="shared" si="6"/>
        <v>EEM_EG_Pavlovagyrans_raw_002_007_F7.csv</v>
      </c>
      <c r="B390" t="s">
        <v>29</v>
      </c>
      <c r="C390" t="s">
        <v>30</v>
      </c>
      <c r="D390" t="s">
        <v>30</v>
      </c>
      <c r="E390" t="s">
        <v>31</v>
      </c>
      <c r="F390">
        <v>2</v>
      </c>
      <c r="G390">
        <v>7</v>
      </c>
      <c r="H390" t="s">
        <v>103</v>
      </c>
      <c r="I390" t="s">
        <v>33</v>
      </c>
      <c r="J390" t="s">
        <v>34</v>
      </c>
      <c r="K390" s="1">
        <v>0.13170000000000001</v>
      </c>
      <c r="L390" t="s">
        <v>30</v>
      </c>
      <c r="M390">
        <v>22</v>
      </c>
      <c r="N390" t="s">
        <v>46</v>
      </c>
      <c r="O390" t="s">
        <v>244</v>
      </c>
      <c r="P390">
        <v>336</v>
      </c>
      <c r="Q390">
        <v>50</v>
      </c>
      <c r="R390" t="s">
        <v>36</v>
      </c>
      <c r="S390">
        <v>12</v>
      </c>
      <c r="T390">
        <v>12</v>
      </c>
      <c r="U390" t="s">
        <v>112</v>
      </c>
      <c r="V390" t="s">
        <v>37</v>
      </c>
      <c r="W390">
        <v>450</v>
      </c>
      <c r="X390">
        <v>60</v>
      </c>
      <c r="Y390" t="s">
        <v>38</v>
      </c>
      <c r="Z390">
        <v>20</v>
      </c>
      <c r="AA390" t="s">
        <v>39</v>
      </c>
      <c r="AB390">
        <v>20</v>
      </c>
      <c r="AC390" t="s">
        <v>40</v>
      </c>
    </row>
    <row r="391" spans="1:29" x14ac:dyDescent="0.25">
      <c r="A391" t="str">
        <f t="shared" si="6"/>
        <v>EEM_EG_Pavlovagyrans_raw_002_007_F8.csv</v>
      </c>
      <c r="B391" t="s">
        <v>29</v>
      </c>
      <c r="C391" t="s">
        <v>30</v>
      </c>
      <c r="D391" t="s">
        <v>30</v>
      </c>
      <c r="E391" t="s">
        <v>31</v>
      </c>
      <c r="F391">
        <v>2</v>
      </c>
      <c r="G391">
        <v>7</v>
      </c>
      <c r="H391" t="s">
        <v>104</v>
      </c>
      <c r="I391" t="s">
        <v>33</v>
      </c>
      <c r="J391" t="s">
        <v>34</v>
      </c>
      <c r="K391" s="1">
        <v>0.16769999999999999</v>
      </c>
      <c r="L391" t="s">
        <v>30</v>
      </c>
      <c r="M391">
        <v>22</v>
      </c>
      <c r="N391" t="s">
        <v>86</v>
      </c>
      <c r="O391" t="s">
        <v>244</v>
      </c>
      <c r="P391">
        <v>336</v>
      </c>
      <c r="Q391">
        <v>50</v>
      </c>
      <c r="R391" t="s">
        <v>36</v>
      </c>
      <c r="S391">
        <v>12</v>
      </c>
      <c r="T391">
        <v>12</v>
      </c>
      <c r="U391" t="s">
        <v>112</v>
      </c>
      <c r="V391" t="s">
        <v>37</v>
      </c>
      <c r="W391">
        <v>450</v>
      </c>
      <c r="X391">
        <v>60</v>
      </c>
      <c r="Y391" t="s">
        <v>38</v>
      </c>
      <c r="Z391">
        <v>20</v>
      </c>
      <c r="AA391" t="s">
        <v>39</v>
      </c>
      <c r="AB391">
        <v>20</v>
      </c>
      <c r="AC391" t="s">
        <v>40</v>
      </c>
    </row>
    <row r="392" spans="1:29" x14ac:dyDescent="0.25">
      <c r="A392" t="str">
        <f>"EEM_EG_Pavlovagyrans_raw_002_008_"&amp;H392&amp;".csv"</f>
        <v>EEM_EG_Pavlovagyrans_raw_002_008_A1.csv</v>
      </c>
      <c r="B392" t="s">
        <v>29</v>
      </c>
      <c r="C392" t="s">
        <v>30</v>
      </c>
      <c r="D392" t="s">
        <v>30</v>
      </c>
      <c r="E392" t="s">
        <v>31</v>
      </c>
      <c r="F392">
        <v>2</v>
      </c>
      <c r="G392">
        <v>8</v>
      </c>
      <c r="H392" t="s">
        <v>110</v>
      </c>
      <c r="I392" t="s">
        <v>33</v>
      </c>
      <c r="J392" t="s">
        <v>34</v>
      </c>
      <c r="K392" s="1">
        <v>0.15110000000000001</v>
      </c>
      <c r="L392" t="s">
        <v>30</v>
      </c>
      <c r="M392">
        <v>22</v>
      </c>
      <c r="N392" t="s">
        <v>48</v>
      </c>
      <c r="O392" t="s">
        <v>245</v>
      </c>
      <c r="P392">
        <v>336</v>
      </c>
      <c r="Q392">
        <v>50</v>
      </c>
      <c r="R392" t="s">
        <v>36</v>
      </c>
      <c r="S392">
        <v>12</v>
      </c>
      <c r="T392">
        <v>12</v>
      </c>
      <c r="U392" t="s">
        <v>112</v>
      </c>
      <c r="V392" t="s">
        <v>37</v>
      </c>
      <c r="W392">
        <v>450</v>
      </c>
      <c r="X392">
        <v>60</v>
      </c>
      <c r="Y392" t="s">
        <v>38</v>
      </c>
      <c r="Z392">
        <v>20</v>
      </c>
      <c r="AA392" t="s">
        <v>39</v>
      </c>
      <c r="AB392">
        <v>20</v>
      </c>
      <c r="AC392" t="s">
        <v>40</v>
      </c>
    </row>
    <row r="393" spans="1:29" x14ac:dyDescent="0.25">
      <c r="A393" t="str">
        <f t="shared" ref="A393:A456" si="7">"EEM_EG_Pavlovagyrans_raw_002_008_"&amp;H393&amp;".csv"</f>
        <v>EEM_EG_Pavlovagyrans_raw_002_008_A2.csv</v>
      </c>
      <c r="B393" t="s">
        <v>29</v>
      </c>
      <c r="C393" t="s">
        <v>30</v>
      </c>
      <c r="D393" t="s">
        <v>30</v>
      </c>
      <c r="E393" t="s">
        <v>31</v>
      </c>
      <c r="F393">
        <v>2</v>
      </c>
      <c r="G393">
        <v>8</v>
      </c>
      <c r="H393" t="s">
        <v>114</v>
      </c>
      <c r="I393" t="s">
        <v>33</v>
      </c>
      <c r="J393" t="s">
        <v>34</v>
      </c>
      <c r="K393" s="1">
        <v>0.18909999999999999</v>
      </c>
      <c r="L393" t="s">
        <v>30</v>
      </c>
      <c r="M393">
        <v>22</v>
      </c>
      <c r="N393" t="s">
        <v>88</v>
      </c>
      <c r="O393" t="s">
        <v>245</v>
      </c>
      <c r="P393">
        <v>336</v>
      </c>
      <c r="Q393">
        <v>50</v>
      </c>
      <c r="R393" t="s">
        <v>36</v>
      </c>
      <c r="S393">
        <v>12</v>
      </c>
      <c r="T393">
        <v>12</v>
      </c>
      <c r="U393" t="s">
        <v>112</v>
      </c>
      <c r="V393" t="s">
        <v>37</v>
      </c>
      <c r="W393">
        <v>450</v>
      </c>
      <c r="X393">
        <v>60</v>
      </c>
      <c r="Y393" t="s">
        <v>38</v>
      </c>
      <c r="Z393">
        <v>20</v>
      </c>
      <c r="AA393" t="s">
        <v>39</v>
      </c>
      <c r="AB393">
        <v>20</v>
      </c>
      <c r="AC393" t="s">
        <v>40</v>
      </c>
    </row>
    <row r="394" spans="1:29" x14ac:dyDescent="0.25">
      <c r="A394" t="str">
        <f t="shared" si="7"/>
        <v>EEM_EG_Pavlovagyrans_raw_002_008_A3.csv</v>
      </c>
      <c r="B394" t="s">
        <v>29</v>
      </c>
      <c r="C394" t="s">
        <v>30</v>
      </c>
      <c r="D394" t="s">
        <v>30</v>
      </c>
      <c r="E394" t="s">
        <v>31</v>
      </c>
      <c r="F394">
        <v>2</v>
      </c>
      <c r="G394">
        <v>8</v>
      </c>
      <c r="H394" t="s">
        <v>116</v>
      </c>
      <c r="I394" t="s">
        <v>33</v>
      </c>
      <c r="J394" t="s">
        <v>34</v>
      </c>
      <c r="K394" s="1">
        <v>0.20780000000000001</v>
      </c>
      <c r="L394" t="s">
        <v>30</v>
      </c>
      <c r="M394">
        <v>22</v>
      </c>
      <c r="N394" t="s">
        <v>50</v>
      </c>
      <c r="O394" t="s">
        <v>245</v>
      </c>
      <c r="P394">
        <v>336</v>
      </c>
      <c r="Q394">
        <v>50</v>
      </c>
      <c r="R394" t="s">
        <v>36</v>
      </c>
      <c r="S394">
        <v>12</v>
      </c>
      <c r="T394">
        <v>12</v>
      </c>
      <c r="U394" t="s">
        <v>112</v>
      </c>
      <c r="V394" t="s">
        <v>37</v>
      </c>
      <c r="W394">
        <v>450</v>
      </c>
      <c r="X394">
        <v>60</v>
      </c>
      <c r="Y394" t="s">
        <v>38</v>
      </c>
      <c r="Z394">
        <v>20</v>
      </c>
      <c r="AA394" t="s">
        <v>39</v>
      </c>
      <c r="AB394">
        <v>20</v>
      </c>
      <c r="AC394" t="s">
        <v>40</v>
      </c>
    </row>
    <row r="395" spans="1:29" x14ac:dyDescent="0.25">
      <c r="A395" t="str">
        <f t="shared" si="7"/>
        <v>EEM_EG_Pavlovagyrans_raw_002_008_A4.csv</v>
      </c>
      <c r="B395" t="s">
        <v>29</v>
      </c>
      <c r="C395" t="s">
        <v>30</v>
      </c>
      <c r="D395" t="s">
        <v>30</v>
      </c>
      <c r="E395" t="s">
        <v>31</v>
      </c>
      <c r="F395">
        <v>2</v>
      </c>
      <c r="G395">
        <v>8</v>
      </c>
      <c r="H395" t="s">
        <v>118</v>
      </c>
      <c r="I395" t="s">
        <v>33</v>
      </c>
      <c r="J395" t="s">
        <v>34</v>
      </c>
      <c r="K395" s="1">
        <v>0.1699</v>
      </c>
      <c r="L395" t="s">
        <v>30</v>
      </c>
      <c r="M395">
        <v>22</v>
      </c>
      <c r="N395" t="s">
        <v>90</v>
      </c>
      <c r="O395" t="s">
        <v>245</v>
      </c>
      <c r="P395">
        <v>336</v>
      </c>
      <c r="Q395">
        <v>50</v>
      </c>
      <c r="R395" t="s">
        <v>36</v>
      </c>
      <c r="S395">
        <v>12</v>
      </c>
      <c r="T395">
        <v>12</v>
      </c>
      <c r="U395" t="s">
        <v>112</v>
      </c>
      <c r="V395" t="s">
        <v>37</v>
      </c>
      <c r="W395">
        <v>450</v>
      </c>
      <c r="X395">
        <v>60</v>
      </c>
      <c r="Y395" t="s">
        <v>38</v>
      </c>
      <c r="Z395">
        <v>20</v>
      </c>
      <c r="AA395" t="s">
        <v>39</v>
      </c>
      <c r="AB395">
        <v>20</v>
      </c>
      <c r="AC395" t="s">
        <v>40</v>
      </c>
    </row>
    <row r="396" spans="1:29" x14ac:dyDescent="0.25">
      <c r="A396" t="str">
        <f t="shared" si="7"/>
        <v>EEM_EG_Pavlovagyrans_raw_002_008_A5.csv</v>
      </c>
      <c r="B396" t="s">
        <v>29</v>
      </c>
      <c r="C396" t="s">
        <v>30</v>
      </c>
      <c r="D396" t="s">
        <v>30</v>
      </c>
      <c r="E396" t="s">
        <v>31</v>
      </c>
      <c r="F396">
        <v>2</v>
      </c>
      <c r="G396">
        <v>8</v>
      </c>
      <c r="H396" t="s">
        <v>120</v>
      </c>
      <c r="I396" t="s">
        <v>33</v>
      </c>
      <c r="J396" t="s">
        <v>34</v>
      </c>
      <c r="K396" s="1">
        <v>0.16209999999999999</v>
      </c>
      <c r="L396" t="s">
        <v>30</v>
      </c>
      <c r="M396">
        <v>22</v>
      </c>
      <c r="N396" t="s">
        <v>52</v>
      </c>
      <c r="O396" t="s">
        <v>245</v>
      </c>
      <c r="P396">
        <v>336</v>
      </c>
      <c r="Q396">
        <v>50</v>
      </c>
      <c r="R396" t="s">
        <v>36</v>
      </c>
      <c r="S396">
        <v>12</v>
      </c>
      <c r="T396">
        <v>12</v>
      </c>
      <c r="U396" t="s">
        <v>112</v>
      </c>
      <c r="V396" t="s">
        <v>37</v>
      </c>
      <c r="W396">
        <v>450</v>
      </c>
      <c r="X396">
        <v>60</v>
      </c>
      <c r="Y396" t="s">
        <v>38</v>
      </c>
      <c r="Z396">
        <v>20</v>
      </c>
      <c r="AA396" t="s">
        <v>39</v>
      </c>
      <c r="AB396">
        <v>20</v>
      </c>
      <c r="AC396" t="s">
        <v>40</v>
      </c>
    </row>
    <row r="397" spans="1:29" x14ac:dyDescent="0.25">
      <c r="A397" t="str">
        <f t="shared" si="7"/>
        <v>EEM_EG_Pavlovagyrans_raw_002_008_A6.csv</v>
      </c>
      <c r="B397" t="s">
        <v>29</v>
      </c>
      <c r="C397" t="s">
        <v>30</v>
      </c>
      <c r="D397" t="s">
        <v>30</v>
      </c>
      <c r="E397" t="s">
        <v>31</v>
      </c>
      <c r="F397">
        <v>2</v>
      </c>
      <c r="G397">
        <v>8</v>
      </c>
      <c r="H397" t="s">
        <v>122</v>
      </c>
      <c r="I397" t="s">
        <v>33</v>
      </c>
      <c r="J397" t="s">
        <v>34</v>
      </c>
      <c r="K397" s="1">
        <v>0.16109999999999999</v>
      </c>
      <c r="L397" t="s">
        <v>30</v>
      </c>
      <c r="M397">
        <v>22</v>
      </c>
      <c r="N397" t="s">
        <v>92</v>
      </c>
      <c r="O397" t="s">
        <v>245</v>
      </c>
      <c r="P397">
        <v>336</v>
      </c>
      <c r="Q397">
        <v>50</v>
      </c>
      <c r="R397" t="s">
        <v>36</v>
      </c>
      <c r="S397">
        <v>12</v>
      </c>
      <c r="T397">
        <v>12</v>
      </c>
      <c r="U397" t="s">
        <v>112</v>
      </c>
      <c r="V397" t="s">
        <v>37</v>
      </c>
      <c r="W397">
        <v>450</v>
      </c>
      <c r="X397">
        <v>60</v>
      </c>
      <c r="Y397" t="s">
        <v>38</v>
      </c>
      <c r="Z397">
        <v>20</v>
      </c>
      <c r="AA397" t="s">
        <v>39</v>
      </c>
      <c r="AB397">
        <v>20</v>
      </c>
      <c r="AC397" t="s">
        <v>40</v>
      </c>
    </row>
    <row r="398" spans="1:29" x14ac:dyDescent="0.25">
      <c r="A398" t="str">
        <f t="shared" si="7"/>
        <v>EEM_EG_Pavlovagyrans_raw_002_008_A7.csv</v>
      </c>
      <c r="B398" t="s">
        <v>29</v>
      </c>
      <c r="C398" t="s">
        <v>30</v>
      </c>
      <c r="D398" t="s">
        <v>30</v>
      </c>
      <c r="E398" t="s">
        <v>31</v>
      </c>
      <c r="F398">
        <v>2</v>
      </c>
      <c r="G398">
        <v>8</v>
      </c>
      <c r="H398" t="s">
        <v>124</v>
      </c>
      <c r="I398" t="s">
        <v>33</v>
      </c>
      <c r="J398" t="s">
        <v>34</v>
      </c>
      <c r="K398" s="1">
        <v>0.1489</v>
      </c>
      <c r="L398" t="s">
        <v>30</v>
      </c>
      <c r="M398">
        <v>22</v>
      </c>
      <c r="N398" t="s">
        <v>54</v>
      </c>
      <c r="O398" t="s">
        <v>245</v>
      </c>
      <c r="P398">
        <v>336</v>
      </c>
      <c r="Q398">
        <v>50</v>
      </c>
      <c r="R398" t="s">
        <v>36</v>
      </c>
      <c r="S398">
        <v>12</v>
      </c>
      <c r="T398">
        <v>12</v>
      </c>
      <c r="U398" t="s">
        <v>112</v>
      </c>
      <c r="V398" t="s">
        <v>37</v>
      </c>
      <c r="W398">
        <v>450</v>
      </c>
      <c r="X398">
        <v>60</v>
      </c>
      <c r="Y398" t="s">
        <v>38</v>
      </c>
      <c r="Z398">
        <v>20</v>
      </c>
      <c r="AA398" t="s">
        <v>39</v>
      </c>
      <c r="AB398">
        <v>20</v>
      </c>
      <c r="AC398" t="s">
        <v>40</v>
      </c>
    </row>
    <row r="399" spans="1:29" x14ac:dyDescent="0.25">
      <c r="A399" t="str">
        <f t="shared" si="7"/>
        <v>EEM_EG_Pavlovagyrans_raw_002_008_A8.csv</v>
      </c>
      <c r="B399" t="s">
        <v>29</v>
      </c>
      <c r="C399" t="s">
        <v>30</v>
      </c>
      <c r="D399" t="s">
        <v>30</v>
      </c>
      <c r="E399" t="s">
        <v>31</v>
      </c>
      <c r="F399">
        <v>2</v>
      </c>
      <c r="G399">
        <v>8</v>
      </c>
      <c r="H399" t="s">
        <v>126</v>
      </c>
      <c r="I399" t="s">
        <v>33</v>
      </c>
      <c r="J399" t="s">
        <v>34</v>
      </c>
      <c r="K399" s="1">
        <v>0.2326</v>
      </c>
      <c r="L399" t="s">
        <v>30</v>
      </c>
      <c r="M399">
        <v>22</v>
      </c>
      <c r="N399" t="s">
        <v>94</v>
      </c>
      <c r="O399" t="s">
        <v>245</v>
      </c>
      <c r="P399">
        <v>336</v>
      </c>
      <c r="Q399">
        <v>50</v>
      </c>
      <c r="R399" t="s">
        <v>36</v>
      </c>
      <c r="S399">
        <v>12</v>
      </c>
      <c r="T399">
        <v>12</v>
      </c>
      <c r="U399" t="s">
        <v>112</v>
      </c>
      <c r="V399" t="s">
        <v>37</v>
      </c>
      <c r="W399">
        <v>450</v>
      </c>
      <c r="X399">
        <v>60</v>
      </c>
      <c r="Y399" t="s">
        <v>38</v>
      </c>
      <c r="Z399">
        <v>20</v>
      </c>
      <c r="AA399" t="s">
        <v>39</v>
      </c>
      <c r="AB399">
        <v>20</v>
      </c>
      <c r="AC399" t="s">
        <v>40</v>
      </c>
    </row>
    <row r="400" spans="1:29" x14ac:dyDescent="0.25">
      <c r="A400" t="str">
        <f t="shared" si="7"/>
        <v>EEM_EG_Pavlovagyrans_raw_002_008_A9.csv</v>
      </c>
      <c r="B400" t="s">
        <v>29</v>
      </c>
      <c r="C400" t="s">
        <v>30</v>
      </c>
      <c r="D400" t="s">
        <v>30</v>
      </c>
      <c r="E400" t="s">
        <v>31</v>
      </c>
      <c r="F400">
        <v>2</v>
      </c>
      <c r="G400">
        <v>8</v>
      </c>
      <c r="H400" t="s">
        <v>182</v>
      </c>
      <c r="I400" t="s">
        <v>33</v>
      </c>
      <c r="J400" t="s">
        <v>34</v>
      </c>
      <c r="K400" s="1">
        <v>0.20760000000000001</v>
      </c>
      <c r="L400" t="s">
        <v>30</v>
      </c>
      <c r="M400">
        <v>22</v>
      </c>
      <c r="N400" t="s">
        <v>56</v>
      </c>
      <c r="O400" t="s">
        <v>245</v>
      </c>
      <c r="P400">
        <v>336</v>
      </c>
      <c r="Q400">
        <v>50</v>
      </c>
      <c r="R400" t="s">
        <v>36</v>
      </c>
      <c r="S400">
        <v>12</v>
      </c>
      <c r="T400">
        <v>12</v>
      </c>
      <c r="U400" t="s">
        <v>112</v>
      </c>
      <c r="V400" t="s">
        <v>37</v>
      </c>
      <c r="W400">
        <v>450</v>
      </c>
      <c r="X400">
        <v>60</v>
      </c>
      <c r="Y400" t="s">
        <v>38</v>
      </c>
      <c r="Z400">
        <v>20</v>
      </c>
      <c r="AA400" t="s">
        <v>39</v>
      </c>
      <c r="AB400">
        <v>20</v>
      </c>
      <c r="AC400" t="s">
        <v>40</v>
      </c>
    </row>
    <row r="401" spans="1:29" x14ac:dyDescent="0.25">
      <c r="A401" t="str">
        <f t="shared" si="7"/>
        <v>EEM_EG_Pavlovagyrans_raw_002_008_A10.csv</v>
      </c>
      <c r="B401" t="s">
        <v>29</v>
      </c>
      <c r="C401" t="s">
        <v>30</v>
      </c>
      <c r="D401" t="s">
        <v>30</v>
      </c>
      <c r="E401" t="s">
        <v>31</v>
      </c>
      <c r="F401">
        <v>2</v>
      </c>
      <c r="G401">
        <v>8</v>
      </c>
      <c r="H401" t="s">
        <v>184</v>
      </c>
      <c r="I401" t="s">
        <v>33</v>
      </c>
      <c r="J401" t="s">
        <v>34</v>
      </c>
      <c r="K401" s="1">
        <v>0.14430000000000001</v>
      </c>
      <c r="L401" t="s">
        <v>30</v>
      </c>
      <c r="M401">
        <v>22</v>
      </c>
      <c r="N401" t="s">
        <v>96</v>
      </c>
      <c r="O401" t="s">
        <v>245</v>
      </c>
      <c r="P401">
        <v>336</v>
      </c>
      <c r="Q401">
        <v>50</v>
      </c>
      <c r="R401" t="s">
        <v>36</v>
      </c>
      <c r="S401">
        <v>12</v>
      </c>
      <c r="T401">
        <v>12</v>
      </c>
      <c r="U401" t="s">
        <v>112</v>
      </c>
      <c r="V401" t="s">
        <v>37</v>
      </c>
      <c r="W401">
        <v>450</v>
      </c>
      <c r="X401">
        <v>60</v>
      </c>
      <c r="Y401" t="s">
        <v>38</v>
      </c>
      <c r="Z401">
        <v>20</v>
      </c>
      <c r="AA401" t="s">
        <v>39</v>
      </c>
      <c r="AB401">
        <v>20</v>
      </c>
      <c r="AC401" t="s">
        <v>40</v>
      </c>
    </row>
    <row r="402" spans="1:29" x14ac:dyDescent="0.25">
      <c r="A402" t="str">
        <f t="shared" si="7"/>
        <v>EEM_EG_Pavlovagyrans_raw_002_008_A11.csv</v>
      </c>
      <c r="B402" t="s">
        <v>29</v>
      </c>
      <c r="C402" t="s">
        <v>30</v>
      </c>
      <c r="D402" t="s">
        <v>30</v>
      </c>
      <c r="E402" t="s">
        <v>31</v>
      </c>
      <c r="F402">
        <v>2</v>
      </c>
      <c r="G402">
        <v>8</v>
      </c>
      <c r="H402" t="s">
        <v>186</v>
      </c>
      <c r="I402" t="s">
        <v>33</v>
      </c>
      <c r="J402" t="s">
        <v>34</v>
      </c>
      <c r="K402" s="1">
        <v>0.13789999999999999</v>
      </c>
      <c r="L402" t="s">
        <v>30</v>
      </c>
      <c r="M402">
        <v>22</v>
      </c>
      <c r="N402" t="s">
        <v>58</v>
      </c>
      <c r="O402" t="s">
        <v>245</v>
      </c>
      <c r="P402">
        <v>336</v>
      </c>
      <c r="Q402">
        <v>50</v>
      </c>
      <c r="R402" t="s">
        <v>36</v>
      </c>
      <c r="S402">
        <v>12</v>
      </c>
      <c r="T402">
        <v>12</v>
      </c>
      <c r="U402" t="s">
        <v>112</v>
      </c>
      <c r="V402" t="s">
        <v>37</v>
      </c>
      <c r="W402">
        <v>450</v>
      </c>
      <c r="X402">
        <v>60</v>
      </c>
      <c r="Y402" t="s">
        <v>38</v>
      </c>
      <c r="Z402">
        <v>20</v>
      </c>
      <c r="AA402" t="s">
        <v>39</v>
      </c>
      <c r="AB402">
        <v>20</v>
      </c>
      <c r="AC402" t="s">
        <v>40</v>
      </c>
    </row>
    <row r="403" spans="1:29" x14ac:dyDescent="0.25">
      <c r="A403" t="str">
        <f t="shared" si="7"/>
        <v>EEM_EG_Pavlovagyrans_raw_002_008_B1.csv</v>
      </c>
      <c r="B403" t="s">
        <v>29</v>
      </c>
      <c r="C403" t="s">
        <v>30</v>
      </c>
      <c r="D403" t="s">
        <v>30</v>
      </c>
      <c r="E403" t="s">
        <v>31</v>
      </c>
      <c r="F403">
        <v>2</v>
      </c>
      <c r="G403">
        <v>8</v>
      </c>
      <c r="H403" t="s">
        <v>128</v>
      </c>
      <c r="I403" t="s">
        <v>33</v>
      </c>
      <c r="J403" t="s">
        <v>34</v>
      </c>
      <c r="K403" s="1">
        <v>0.19989999999999999</v>
      </c>
      <c r="L403" t="s">
        <v>30</v>
      </c>
      <c r="M403">
        <v>22</v>
      </c>
      <c r="N403" t="s">
        <v>48</v>
      </c>
      <c r="O403" t="s">
        <v>245</v>
      </c>
      <c r="P403">
        <v>336</v>
      </c>
      <c r="Q403">
        <v>50</v>
      </c>
      <c r="R403" t="s">
        <v>36</v>
      </c>
      <c r="S403">
        <v>12</v>
      </c>
      <c r="T403">
        <v>12</v>
      </c>
      <c r="U403" t="s">
        <v>112</v>
      </c>
      <c r="V403" t="s">
        <v>37</v>
      </c>
      <c r="W403">
        <v>450</v>
      </c>
      <c r="X403">
        <v>60</v>
      </c>
      <c r="Y403" t="s">
        <v>38</v>
      </c>
      <c r="Z403">
        <v>20</v>
      </c>
      <c r="AA403" t="s">
        <v>39</v>
      </c>
      <c r="AB403">
        <v>20</v>
      </c>
      <c r="AC403" t="s">
        <v>40</v>
      </c>
    </row>
    <row r="404" spans="1:29" x14ac:dyDescent="0.25">
      <c r="A404" t="str">
        <f t="shared" si="7"/>
        <v>EEM_EG_Pavlovagyrans_raw_002_008_B2.csv</v>
      </c>
      <c r="B404" t="s">
        <v>29</v>
      </c>
      <c r="C404" t="s">
        <v>30</v>
      </c>
      <c r="D404" t="s">
        <v>30</v>
      </c>
      <c r="E404" t="s">
        <v>31</v>
      </c>
      <c r="F404">
        <v>2</v>
      </c>
      <c r="G404">
        <v>8</v>
      </c>
      <c r="H404" t="s">
        <v>32</v>
      </c>
      <c r="I404" t="s">
        <v>33</v>
      </c>
      <c r="J404" t="s">
        <v>34</v>
      </c>
      <c r="K404" s="1">
        <v>0.152</v>
      </c>
      <c r="L404" t="s">
        <v>30</v>
      </c>
      <c r="M404">
        <v>22</v>
      </c>
      <c r="N404" t="s">
        <v>88</v>
      </c>
      <c r="O404" t="s">
        <v>245</v>
      </c>
      <c r="P404">
        <v>336</v>
      </c>
      <c r="Q404">
        <v>50</v>
      </c>
      <c r="R404" t="s">
        <v>36</v>
      </c>
      <c r="S404">
        <v>12</v>
      </c>
      <c r="T404">
        <v>12</v>
      </c>
      <c r="U404" t="s">
        <v>112</v>
      </c>
      <c r="V404" t="s">
        <v>37</v>
      </c>
      <c r="W404">
        <v>450</v>
      </c>
      <c r="X404">
        <v>60</v>
      </c>
      <c r="Y404" t="s">
        <v>38</v>
      </c>
      <c r="Z404">
        <v>20</v>
      </c>
      <c r="AA404" t="s">
        <v>39</v>
      </c>
      <c r="AB404">
        <v>20</v>
      </c>
      <c r="AC404" t="s">
        <v>40</v>
      </c>
    </row>
    <row r="405" spans="1:29" x14ac:dyDescent="0.25">
      <c r="A405" t="str">
        <f t="shared" si="7"/>
        <v>EEM_EG_Pavlovagyrans_raw_002_008_B3.csv</v>
      </c>
      <c r="B405" t="s">
        <v>29</v>
      </c>
      <c r="C405" t="s">
        <v>30</v>
      </c>
      <c r="D405" t="s">
        <v>30</v>
      </c>
      <c r="E405" t="s">
        <v>31</v>
      </c>
      <c r="F405">
        <v>2</v>
      </c>
      <c r="G405">
        <v>8</v>
      </c>
      <c r="H405" t="s">
        <v>41</v>
      </c>
      <c r="I405" t="s">
        <v>33</v>
      </c>
      <c r="J405" t="s">
        <v>34</v>
      </c>
      <c r="K405" s="1">
        <v>0.16750000000000001</v>
      </c>
      <c r="L405" t="s">
        <v>30</v>
      </c>
      <c r="M405">
        <v>22</v>
      </c>
      <c r="N405" t="s">
        <v>50</v>
      </c>
      <c r="O405" t="s">
        <v>245</v>
      </c>
      <c r="P405">
        <v>336</v>
      </c>
      <c r="Q405">
        <v>50</v>
      </c>
      <c r="R405" t="s">
        <v>36</v>
      </c>
      <c r="S405">
        <v>12</v>
      </c>
      <c r="T405">
        <v>12</v>
      </c>
      <c r="U405" t="s">
        <v>112</v>
      </c>
      <c r="V405" t="s">
        <v>37</v>
      </c>
      <c r="W405">
        <v>450</v>
      </c>
      <c r="X405">
        <v>60</v>
      </c>
      <c r="Y405" t="s">
        <v>38</v>
      </c>
      <c r="Z405">
        <v>20</v>
      </c>
      <c r="AA405" t="s">
        <v>39</v>
      </c>
      <c r="AB405">
        <v>20</v>
      </c>
      <c r="AC405" t="s">
        <v>40</v>
      </c>
    </row>
    <row r="406" spans="1:29" x14ac:dyDescent="0.25">
      <c r="A406" t="str">
        <f t="shared" si="7"/>
        <v>EEM_EG_Pavlovagyrans_raw_002_008_B4.csv</v>
      </c>
      <c r="B406" t="s">
        <v>29</v>
      </c>
      <c r="C406" t="s">
        <v>30</v>
      </c>
      <c r="D406" t="s">
        <v>30</v>
      </c>
      <c r="E406" t="s">
        <v>31</v>
      </c>
      <c r="F406">
        <v>2</v>
      </c>
      <c r="G406">
        <v>8</v>
      </c>
      <c r="H406" t="s">
        <v>43</v>
      </c>
      <c r="I406" t="s">
        <v>33</v>
      </c>
      <c r="J406" t="s">
        <v>34</v>
      </c>
      <c r="K406" s="1">
        <v>0.16350000000000001</v>
      </c>
      <c r="L406" t="s">
        <v>30</v>
      </c>
      <c r="M406">
        <v>22</v>
      </c>
      <c r="N406" t="s">
        <v>90</v>
      </c>
      <c r="O406" t="s">
        <v>245</v>
      </c>
      <c r="P406">
        <v>336</v>
      </c>
      <c r="Q406">
        <v>50</v>
      </c>
      <c r="R406" t="s">
        <v>36</v>
      </c>
      <c r="S406">
        <v>12</v>
      </c>
      <c r="T406">
        <v>12</v>
      </c>
      <c r="U406" t="s">
        <v>112</v>
      </c>
      <c r="V406" t="s">
        <v>37</v>
      </c>
      <c r="W406">
        <v>450</v>
      </c>
      <c r="X406">
        <v>60</v>
      </c>
      <c r="Y406" t="s">
        <v>38</v>
      </c>
      <c r="Z406">
        <v>20</v>
      </c>
      <c r="AA406" t="s">
        <v>39</v>
      </c>
      <c r="AB406">
        <v>20</v>
      </c>
      <c r="AC406" t="s">
        <v>40</v>
      </c>
    </row>
    <row r="407" spans="1:29" x14ac:dyDescent="0.25">
      <c r="A407" t="str">
        <f t="shared" si="7"/>
        <v>EEM_EG_Pavlovagyrans_raw_002_008_B5.csv</v>
      </c>
      <c r="B407" t="s">
        <v>29</v>
      </c>
      <c r="C407" t="s">
        <v>30</v>
      </c>
      <c r="D407" t="s">
        <v>30</v>
      </c>
      <c r="E407" t="s">
        <v>31</v>
      </c>
      <c r="F407">
        <v>2</v>
      </c>
      <c r="G407">
        <v>8</v>
      </c>
      <c r="H407" t="s">
        <v>45</v>
      </c>
      <c r="I407" t="s">
        <v>33</v>
      </c>
      <c r="J407" t="s">
        <v>34</v>
      </c>
      <c r="K407" s="1">
        <v>0.1527</v>
      </c>
      <c r="L407" t="s">
        <v>30</v>
      </c>
      <c r="M407">
        <v>22</v>
      </c>
      <c r="N407" t="s">
        <v>52</v>
      </c>
      <c r="O407" t="s">
        <v>245</v>
      </c>
      <c r="P407">
        <v>336</v>
      </c>
      <c r="Q407">
        <v>50</v>
      </c>
      <c r="R407" t="s">
        <v>36</v>
      </c>
      <c r="S407">
        <v>12</v>
      </c>
      <c r="T407">
        <v>12</v>
      </c>
      <c r="U407" t="s">
        <v>112</v>
      </c>
      <c r="V407" t="s">
        <v>37</v>
      </c>
      <c r="W407">
        <v>450</v>
      </c>
      <c r="X407">
        <v>60</v>
      </c>
      <c r="Y407" t="s">
        <v>38</v>
      </c>
      <c r="Z407">
        <v>20</v>
      </c>
      <c r="AA407" t="s">
        <v>39</v>
      </c>
      <c r="AB407">
        <v>20</v>
      </c>
      <c r="AC407" t="s">
        <v>40</v>
      </c>
    </row>
    <row r="408" spans="1:29" x14ac:dyDescent="0.25">
      <c r="A408" t="str">
        <f t="shared" si="7"/>
        <v>EEM_EG_Pavlovagyrans_raw_002_008_B6.csv</v>
      </c>
      <c r="B408" t="s">
        <v>29</v>
      </c>
      <c r="C408" t="s">
        <v>30</v>
      </c>
      <c r="D408" t="s">
        <v>30</v>
      </c>
      <c r="E408" t="s">
        <v>31</v>
      </c>
      <c r="F408">
        <v>2</v>
      </c>
      <c r="G408">
        <v>8</v>
      </c>
      <c r="H408" t="s">
        <v>47</v>
      </c>
      <c r="I408" t="s">
        <v>33</v>
      </c>
      <c r="J408" t="s">
        <v>34</v>
      </c>
      <c r="K408" s="1">
        <v>0.1633</v>
      </c>
      <c r="L408" t="s">
        <v>30</v>
      </c>
      <c r="M408">
        <v>22</v>
      </c>
      <c r="N408" t="s">
        <v>92</v>
      </c>
      <c r="O408" t="s">
        <v>245</v>
      </c>
      <c r="P408">
        <v>336</v>
      </c>
      <c r="Q408">
        <v>50</v>
      </c>
      <c r="R408" t="s">
        <v>36</v>
      </c>
      <c r="S408">
        <v>12</v>
      </c>
      <c r="T408">
        <v>12</v>
      </c>
      <c r="U408" t="s">
        <v>112</v>
      </c>
      <c r="V408" t="s">
        <v>37</v>
      </c>
      <c r="W408">
        <v>450</v>
      </c>
      <c r="X408">
        <v>60</v>
      </c>
      <c r="Y408" t="s">
        <v>38</v>
      </c>
      <c r="Z408">
        <v>20</v>
      </c>
      <c r="AA408" t="s">
        <v>39</v>
      </c>
      <c r="AB408">
        <v>20</v>
      </c>
      <c r="AC408" t="s">
        <v>40</v>
      </c>
    </row>
    <row r="409" spans="1:29" x14ac:dyDescent="0.25">
      <c r="A409" t="str">
        <f t="shared" si="7"/>
        <v>EEM_EG_Pavlovagyrans_raw_002_008_B7.csv</v>
      </c>
      <c r="B409" t="s">
        <v>29</v>
      </c>
      <c r="C409" t="s">
        <v>30</v>
      </c>
      <c r="D409" t="s">
        <v>30</v>
      </c>
      <c r="E409" t="s">
        <v>31</v>
      </c>
      <c r="F409">
        <v>2</v>
      </c>
      <c r="G409">
        <v>8</v>
      </c>
      <c r="H409" t="s">
        <v>49</v>
      </c>
      <c r="I409" t="s">
        <v>33</v>
      </c>
      <c r="J409" t="s">
        <v>34</v>
      </c>
      <c r="K409" s="1">
        <v>0.14760000000000001</v>
      </c>
      <c r="L409" t="s">
        <v>30</v>
      </c>
      <c r="M409">
        <v>22</v>
      </c>
      <c r="N409" t="s">
        <v>54</v>
      </c>
      <c r="O409" t="s">
        <v>245</v>
      </c>
      <c r="P409">
        <v>336</v>
      </c>
      <c r="Q409">
        <v>50</v>
      </c>
      <c r="R409" t="s">
        <v>36</v>
      </c>
      <c r="S409">
        <v>12</v>
      </c>
      <c r="T409">
        <v>12</v>
      </c>
      <c r="U409" t="s">
        <v>112</v>
      </c>
      <c r="V409" t="s">
        <v>37</v>
      </c>
      <c r="W409">
        <v>450</v>
      </c>
      <c r="X409">
        <v>60</v>
      </c>
      <c r="Y409" t="s">
        <v>38</v>
      </c>
      <c r="Z409">
        <v>20</v>
      </c>
      <c r="AA409" t="s">
        <v>39</v>
      </c>
      <c r="AB409">
        <v>20</v>
      </c>
      <c r="AC409" t="s">
        <v>40</v>
      </c>
    </row>
    <row r="410" spans="1:29" x14ac:dyDescent="0.25">
      <c r="A410" t="str">
        <f t="shared" si="7"/>
        <v>EEM_EG_Pavlovagyrans_raw_002_008_B8.csv</v>
      </c>
      <c r="B410" t="s">
        <v>29</v>
      </c>
      <c r="C410" t="s">
        <v>30</v>
      </c>
      <c r="D410" t="s">
        <v>30</v>
      </c>
      <c r="E410" t="s">
        <v>31</v>
      </c>
      <c r="F410">
        <v>2</v>
      </c>
      <c r="G410">
        <v>8</v>
      </c>
      <c r="H410" t="s">
        <v>51</v>
      </c>
      <c r="I410" t="s">
        <v>33</v>
      </c>
      <c r="J410" t="s">
        <v>34</v>
      </c>
      <c r="K410" s="1">
        <v>0.31669999999999998</v>
      </c>
      <c r="L410" t="s">
        <v>30</v>
      </c>
      <c r="M410">
        <v>22</v>
      </c>
      <c r="N410" t="s">
        <v>94</v>
      </c>
      <c r="O410" t="s">
        <v>245</v>
      </c>
      <c r="P410">
        <v>336</v>
      </c>
      <c r="Q410">
        <v>50</v>
      </c>
      <c r="R410" t="s">
        <v>36</v>
      </c>
      <c r="S410">
        <v>12</v>
      </c>
      <c r="T410">
        <v>12</v>
      </c>
      <c r="U410" t="s">
        <v>112</v>
      </c>
      <c r="V410" t="s">
        <v>37</v>
      </c>
      <c r="W410">
        <v>450</v>
      </c>
      <c r="X410">
        <v>60</v>
      </c>
      <c r="Y410" t="s">
        <v>38</v>
      </c>
      <c r="Z410">
        <v>20</v>
      </c>
      <c r="AA410" t="s">
        <v>39</v>
      </c>
      <c r="AB410">
        <v>20</v>
      </c>
      <c r="AC410" t="s">
        <v>40</v>
      </c>
    </row>
    <row r="411" spans="1:29" x14ac:dyDescent="0.25">
      <c r="A411" t="str">
        <f t="shared" si="7"/>
        <v>EEM_EG_Pavlovagyrans_raw_002_008_B9.csv</v>
      </c>
      <c r="B411" t="s">
        <v>29</v>
      </c>
      <c r="C411" t="s">
        <v>30</v>
      </c>
      <c r="D411" t="s">
        <v>30</v>
      </c>
      <c r="E411" t="s">
        <v>31</v>
      </c>
      <c r="F411">
        <v>2</v>
      </c>
      <c r="G411">
        <v>8</v>
      </c>
      <c r="H411" t="s">
        <v>53</v>
      </c>
      <c r="I411" t="s">
        <v>33</v>
      </c>
      <c r="J411" t="s">
        <v>34</v>
      </c>
      <c r="K411" s="1">
        <v>0.26740000000000003</v>
      </c>
      <c r="L411" t="s">
        <v>30</v>
      </c>
      <c r="M411">
        <v>22</v>
      </c>
      <c r="N411" t="s">
        <v>56</v>
      </c>
      <c r="O411" t="s">
        <v>245</v>
      </c>
      <c r="P411">
        <v>336</v>
      </c>
      <c r="Q411">
        <v>50</v>
      </c>
      <c r="R411" t="s">
        <v>36</v>
      </c>
      <c r="S411">
        <v>12</v>
      </c>
      <c r="T411">
        <v>12</v>
      </c>
      <c r="U411" t="s">
        <v>112</v>
      </c>
      <c r="V411" t="s">
        <v>37</v>
      </c>
      <c r="W411">
        <v>450</v>
      </c>
      <c r="X411">
        <v>60</v>
      </c>
      <c r="Y411" t="s">
        <v>38</v>
      </c>
      <c r="Z411">
        <v>20</v>
      </c>
      <c r="AA411" t="s">
        <v>39</v>
      </c>
      <c r="AB411">
        <v>20</v>
      </c>
      <c r="AC411" t="s">
        <v>40</v>
      </c>
    </row>
    <row r="412" spans="1:29" x14ac:dyDescent="0.25">
      <c r="A412" t="str">
        <f t="shared" si="7"/>
        <v>EEM_EG_Pavlovagyrans_raw_002_008_B10.csv</v>
      </c>
      <c r="B412" t="s">
        <v>29</v>
      </c>
      <c r="C412" t="s">
        <v>30</v>
      </c>
      <c r="D412" t="s">
        <v>30</v>
      </c>
      <c r="E412" t="s">
        <v>31</v>
      </c>
      <c r="F412">
        <v>2</v>
      </c>
      <c r="G412">
        <v>8</v>
      </c>
      <c r="H412" t="s">
        <v>55</v>
      </c>
      <c r="I412" t="s">
        <v>33</v>
      </c>
      <c r="J412" t="s">
        <v>34</v>
      </c>
      <c r="K412" s="1">
        <v>0.14660000000000001</v>
      </c>
      <c r="L412" t="s">
        <v>30</v>
      </c>
      <c r="M412">
        <v>22</v>
      </c>
      <c r="N412" t="s">
        <v>96</v>
      </c>
      <c r="O412" t="s">
        <v>245</v>
      </c>
      <c r="P412">
        <v>336</v>
      </c>
      <c r="Q412">
        <v>50</v>
      </c>
      <c r="R412" t="s">
        <v>36</v>
      </c>
      <c r="S412">
        <v>12</v>
      </c>
      <c r="T412">
        <v>12</v>
      </c>
      <c r="U412" t="s">
        <v>112</v>
      </c>
      <c r="V412" t="s">
        <v>37</v>
      </c>
      <c r="W412">
        <v>450</v>
      </c>
      <c r="X412">
        <v>60</v>
      </c>
      <c r="Y412" t="s">
        <v>38</v>
      </c>
      <c r="Z412">
        <v>20</v>
      </c>
      <c r="AA412" t="s">
        <v>39</v>
      </c>
      <c r="AB412">
        <v>20</v>
      </c>
      <c r="AC412" t="s">
        <v>40</v>
      </c>
    </row>
    <row r="413" spans="1:29" x14ac:dyDescent="0.25">
      <c r="A413" t="str">
        <f t="shared" si="7"/>
        <v>EEM_EG_Pavlovagyrans_raw_002_008_B11.csv</v>
      </c>
      <c r="B413" t="s">
        <v>29</v>
      </c>
      <c r="C413" t="s">
        <v>30</v>
      </c>
      <c r="D413" t="s">
        <v>30</v>
      </c>
      <c r="E413" t="s">
        <v>31</v>
      </c>
      <c r="F413">
        <v>2</v>
      </c>
      <c r="G413">
        <v>8</v>
      </c>
      <c r="H413" t="s">
        <v>57</v>
      </c>
      <c r="I413" t="s">
        <v>33</v>
      </c>
      <c r="J413" t="s">
        <v>34</v>
      </c>
      <c r="K413" s="1">
        <v>0.1749</v>
      </c>
      <c r="L413" t="s">
        <v>30</v>
      </c>
      <c r="M413">
        <v>22</v>
      </c>
      <c r="N413" t="s">
        <v>58</v>
      </c>
      <c r="O413" t="s">
        <v>245</v>
      </c>
      <c r="P413">
        <v>336</v>
      </c>
      <c r="Q413">
        <v>50</v>
      </c>
      <c r="R413" t="s">
        <v>36</v>
      </c>
      <c r="S413">
        <v>12</v>
      </c>
      <c r="T413">
        <v>12</v>
      </c>
      <c r="U413" t="s">
        <v>112</v>
      </c>
      <c r="V413" t="s">
        <v>37</v>
      </c>
      <c r="W413">
        <v>450</v>
      </c>
      <c r="X413">
        <v>60</v>
      </c>
      <c r="Y413" t="s">
        <v>38</v>
      </c>
      <c r="Z413">
        <v>20</v>
      </c>
      <c r="AA413" t="s">
        <v>39</v>
      </c>
      <c r="AB413">
        <v>20</v>
      </c>
      <c r="AC413" t="s">
        <v>40</v>
      </c>
    </row>
    <row r="414" spans="1:29" x14ac:dyDescent="0.25">
      <c r="A414" t="str">
        <f t="shared" si="7"/>
        <v>EEM_EG_Pavlovagyrans_raw_002_008_C1.csv</v>
      </c>
      <c r="B414" t="s">
        <v>29</v>
      </c>
      <c r="C414" t="s">
        <v>30</v>
      </c>
      <c r="D414" t="s">
        <v>30</v>
      </c>
      <c r="E414" t="s">
        <v>31</v>
      </c>
      <c r="F414">
        <v>2</v>
      </c>
      <c r="G414">
        <v>8</v>
      </c>
      <c r="H414" t="s">
        <v>137</v>
      </c>
      <c r="I414" t="s">
        <v>33</v>
      </c>
      <c r="J414" t="s">
        <v>34</v>
      </c>
      <c r="K414" s="1">
        <v>0.22409999999999999</v>
      </c>
      <c r="L414" t="s">
        <v>30</v>
      </c>
      <c r="M414">
        <v>22</v>
      </c>
      <c r="N414" t="s">
        <v>48</v>
      </c>
      <c r="O414" t="s">
        <v>245</v>
      </c>
      <c r="P414">
        <v>336</v>
      </c>
      <c r="Q414">
        <v>50</v>
      </c>
      <c r="R414" t="s">
        <v>36</v>
      </c>
      <c r="S414">
        <v>12</v>
      </c>
      <c r="T414">
        <v>12</v>
      </c>
      <c r="U414" t="s">
        <v>112</v>
      </c>
      <c r="V414" t="s">
        <v>37</v>
      </c>
      <c r="W414">
        <v>450</v>
      </c>
      <c r="X414">
        <v>60</v>
      </c>
      <c r="Y414" t="s">
        <v>38</v>
      </c>
      <c r="Z414">
        <v>20</v>
      </c>
      <c r="AA414" t="s">
        <v>39</v>
      </c>
      <c r="AB414">
        <v>20</v>
      </c>
      <c r="AC414" t="s">
        <v>40</v>
      </c>
    </row>
    <row r="415" spans="1:29" x14ac:dyDescent="0.25">
      <c r="A415" t="str">
        <f t="shared" si="7"/>
        <v>EEM_EG_Pavlovagyrans_raw_002_008_C2.csv</v>
      </c>
      <c r="B415" t="s">
        <v>29</v>
      </c>
      <c r="C415" t="s">
        <v>30</v>
      </c>
      <c r="D415" t="s">
        <v>30</v>
      </c>
      <c r="E415" t="s">
        <v>31</v>
      </c>
      <c r="F415">
        <v>2</v>
      </c>
      <c r="G415">
        <v>8</v>
      </c>
      <c r="H415" t="s">
        <v>59</v>
      </c>
      <c r="I415" t="s">
        <v>33</v>
      </c>
      <c r="J415" t="s">
        <v>34</v>
      </c>
      <c r="K415" s="1">
        <v>0.18210000000000001</v>
      </c>
      <c r="L415" t="s">
        <v>30</v>
      </c>
      <c r="M415">
        <v>22</v>
      </c>
      <c r="N415" t="s">
        <v>88</v>
      </c>
      <c r="O415" t="s">
        <v>245</v>
      </c>
      <c r="P415">
        <v>336</v>
      </c>
      <c r="Q415">
        <v>50</v>
      </c>
      <c r="R415" t="s">
        <v>36</v>
      </c>
      <c r="S415">
        <v>12</v>
      </c>
      <c r="T415">
        <v>12</v>
      </c>
      <c r="U415" t="s">
        <v>112</v>
      </c>
      <c r="V415" t="s">
        <v>37</v>
      </c>
      <c r="W415">
        <v>450</v>
      </c>
      <c r="X415">
        <v>60</v>
      </c>
      <c r="Y415" t="s">
        <v>38</v>
      </c>
      <c r="Z415">
        <v>20</v>
      </c>
      <c r="AA415" t="s">
        <v>39</v>
      </c>
      <c r="AB415">
        <v>20</v>
      </c>
      <c r="AC415" t="s">
        <v>40</v>
      </c>
    </row>
    <row r="416" spans="1:29" x14ac:dyDescent="0.25">
      <c r="A416" t="str">
        <f t="shared" si="7"/>
        <v>EEM_EG_Pavlovagyrans_raw_002_008_C3.csv</v>
      </c>
      <c r="B416" t="s">
        <v>29</v>
      </c>
      <c r="C416" t="s">
        <v>30</v>
      </c>
      <c r="D416" t="s">
        <v>30</v>
      </c>
      <c r="E416" t="s">
        <v>31</v>
      </c>
      <c r="F416">
        <v>2</v>
      </c>
      <c r="G416">
        <v>8</v>
      </c>
      <c r="H416" t="s">
        <v>60</v>
      </c>
      <c r="I416" t="s">
        <v>33</v>
      </c>
      <c r="J416" t="s">
        <v>34</v>
      </c>
      <c r="K416" s="1">
        <v>0.18609999999999999</v>
      </c>
      <c r="L416" t="s">
        <v>30</v>
      </c>
      <c r="M416">
        <v>22</v>
      </c>
      <c r="N416" t="s">
        <v>50</v>
      </c>
      <c r="O416" t="s">
        <v>245</v>
      </c>
      <c r="P416">
        <v>336</v>
      </c>
      <c r="Q416">
        <v>50</v>
      </c>
      <c r="R416" t="s">
        <v>36</v>
      </c>
      <c r="S416">
        <v>12</v>
      </c>
      <c r="T416">
        <v>12</v>
      </c>
      <c r="U416" t="s">
        <v>112</v>
      </c>
      <c r="V416" t="s">
        <v>37</v>
      </c>
      <c r="W416">
        <v>450</v>
      </c>
      <c r="X416">
        <v>60</v>
      </c>
      <c r="Y416" t="s">
        <v>38</v>
      </c>
      <c r="Z416">
        <v>20</v>
      </c>
      <c r="AA416" t="s">
        <v>39</v>
      </c>
      <c r="AB416">
        <v>20</v>
      </c>
      <c r="AC416" t="s">
        <v>40</v>
      </c>
    </row>
    <row r="417" spans="1:29" x14ac:dyDescent="0.25">
      <c r="A417" t="str">
        <f t="shared" si="7"/>
        <v>EEM_EG_Pavlovagyrans_raw_002_008_C4.csv</v>
      </c>
      <c r="B417" t="s">
        <v>29</v>
      </c>
      <c r="C417" t="s">
        <v>30</v>
      </c>
      <c r="D417" t="s">
        <v>30</v>
      </c>
      <c r="E417" t="s">
        <v>31</v>
      </c>
      <c r="F417">
        <v>2</v>
      </c>
      <c r="G417">
        <v>8</v>
      </c>
      <c r="H417" t="s">
        <v>61</v>
      </c>
      <c r="I417" t="s">
        <v>33</v>
      </c>
      <c r="J417" t="s">
        <v>34</v>
      </c>
      <c r="K417" s="1">
        <v>0.19620000000000001</v>
      </c>
      <c r="L417" t="s">
        <v>30</v>
      </c>
      <c r="M417">
        <v>22</v>
      </c>
      <c r="N417" t="s">
        <v>90</v>
      </c>
      <c r="O417" t="s">
        <v>245</v>
      </c>
      <c r="P417">
        <v>336</v>
      </c>
      <c r="Q417">
        <v>50</v>
      </c>
      <c r="R417" t="s">
        <v>36</v>
      </c>
      <c r="S417">
        <v>12</v>
      </c>
      <c r="T417">
        <v>12</v>
      </c>
      <c r="U417" t="s">
        <v>112</v>
      </c>
      <c r="V417" t="s">
        <v>37</v>
      </c>
      <c r="W417">
        <v>450</v>
      </c>
      <c r="X417">
        <v>60</v>
      </c>
      <c r="Y417" t="s">
        <v>38</v>
      </c>
      <c r="Z417">
        <v>20</v>
      </c>
      <c r="AA417" t="s">
        <v>39</v>
      </c>
      <c r="AB417">
        <v>20</v>
      </c>
      <c r="AC417" t="s">
        <v>40</v>
      </c>
    </row>
    <row r="418" spans="1:29" x14ac:dyDescent="0.25">
      <c r="A418" t="str">
        <f t="shared" si="7"/>
        <v>EEM_EG_Pavlovagyrans_raw_002_008_C5.csv</v>
      </c>
      <c r="B418" t="s">
        <v>29</v>
      </c>
      <c r="C418" t="s">
        <v>30</v>
      </c>
      <c r="D418" t="s">
        <v>30</v>
      </c>
      <c r="E418" t="s">
        <v>31</v>
      </c>
      <c r="F418">
        <v>2</v>
      </c>
      <c r="G418">
        <v>8</v>
      </c>
      <c r="H418" t="s">
        <v>62</v>
      </c>
      <c r="I418" t="s">
        <v>33</v>
      </c>
      <c r="J418" t="s">
        <v>34</v>
      </c>
      <c r="K418" s="1">
        <v>0.17399999999999999</v>
      </c>
      <c r="L418" t="s">
        <v>30</v>
      </c>
      <c r="M418">
        <v>22</v>
      </c>
      <c r="N418" t="s">
        <v>52</v>
      </c>
      <c r="O418" t="s">
        <v>245</v>
      </c>
      <c r="P418">
        <v>336</v>
      </c>
      <c r="Q418">
        <v>50</v>
      </c>
      <c r="R418" t="s">
        <v>36</v>
      </c>
      <c r="S418">
        <v>12</v>
      </c>
      <c r="T418">
        <v>12</v>
      </c>
      <c r="U418" t="s">
        <v>112</v>
      </c>
      <c r="V418" t="s">
        <v>37</v>
      </c>
      <c r="W418">
        <v>450</v>
      </c>
      <c r="X418">
        <v>60</v>
      </c>
      <c r="Y418" t="s">
        <v>38</v>
      </c>
      <c r="Z418">
        <v>20</v>
      </c>
      <c r="AA418" t="s">
        <v>39</v>
      </c>
      <c r="AB418">
        <v>20</v>
      </c>
      <c r="AC418" t="s">
        <v>40</v>
      </c>
    </row>
    <row r="419" spans="1:29" x14ac:dyDescent="0.25">
      <c r="A419" t="str">
        <f t="shared" si="7"/>
        <v>EEM_EG_Pavlovagyrans_raw_002_008_C6.csv</v>
      </c>
      <c r="B419" t="s">
        <v>29</v>
      </c>
      <c r="C419" t="s">
        <v>30</v>
      </c>
      <c r="D419" t="s">
        <v>30</v>
      </c>
      <c r="E419" t="s">
        <v>31</v>
      </c>
      <c r="F419">
        <v>2</v>
      </c>
      <c r="G419">
        <v>8</v>
      </c>
      <c r="H419" t="s">
        <v>63</v>
      </c>
      <c r="I419" t="s">
        <v>33</v>
      </c>
      <c r="J419" t="s">
        <v>34</v>
      </c>
      <c r="K419" s="1">
        <v>0.19600000000000001</v>
      </c>
      <c r="L419" t="s">
        <v>30</v>
      </c>
      <c r="M419">
        <v>22</v>
      </c>
      <c r="N419" t="s">
        <v>92</v>
      </c>
      <c r="O419" t="s">
        <v>245</v>
      </c>
      <c r="P419">
        <v>336</v>
      </c>
      <c r="Q419">
        <v>50</v>
      </c>
      <c r="R419" t="s">
        <v>36</v>
      </c>
      <c r="S419">
        <v>12</v>
      </c>
      <c r="T419">
        <v>12</v>
      </c>
      <c r="U419" t="s">
        <v>112</v>
      </c>
      <c r="V419" t="s">
        <v>37</v>
      </c>
      <c r="W419">
        <v>450</v>
      </c>
      <c r="X419">
        <v>60</v>
      </c>
      <c r="Y419" t="s">
        <v>38</v>
      </c>
      <c r="Z419">
        <v>20</v>
      </c>
      <c r="AA419" t="s">
        <v>39</v>
      </c>
      <c r="AB419">
        <v>20</v>
      </c>
      <c r="AC419" t="s">
        <v>40</v>
      </c>
    </row>
    <row r="420" spans="1:29" x14ac:dyDescent="0.25">
      <c r="A420" t="str">
        <f t="shared" si="7"/>
        <v>EEM_EG_Pavlovagyrans_raw_002_008_C7.csv</v>
      </c>
      <c r="B420" t="s">
        <v>29</v>
      </c>
      <c r="C420" t="s">
        <v>30</v>
      </c>
      <c r="D420" t="s">
        <v>30</v>
      </c>
      <c r="E420" t="s">
        <v>31</v>
      </c>
      <c r="F420">
        <v>2</v>
      </c>
      <c r="G420">
        <v>8</v>
      </c>
      <c r="H420" t="s">
        <v>64</v>
      </c>
      <c r="I420" t="s">
        <v>33</v>
      </c>
      <c r="J420" t="s">
        <v>34</v>
      </c>
      <c r="K420" s="1">
        <v>0.1777</v>
      </c>
      <c r="L420" t="s">
        <v>30</v>
      </c>
      <c r="M420">
        <v>22</v>
      </c>
      <c r="N420" t="s">
        <v>54</v>
      </c>
      <c r="O420" t="s">
        <v>245</v>
      </c>
      <c r="P420">
        <v>336</v>
      </c>
      <c r="Q420">
        <v>50</v>
      </c>
      <c r="R420" t="s">
        <v>36</v>
      </c>
      <c r="S420">
        <v>12</v>
      </c>
      <c r="T420">
        <v>12</v>
      </c>
      <c r="U420" t="s">
        <v>112</v>
      </c>
      <c r="V420" t="s">
        <v>37</v>
      </c>
      <c r="W420">
        <v>450</v>
      </c>
      <c r="X420">
        <v>60</v>
      </c>
      <c r="Y420" t="s">
        <v>38</v>
      </c>
      <c r="Z420">
        <v>20</v>
      </c>
      <c r="AA420" t="s">
        <v>39</v>
      </c>
      <c r="AB420">
        <v>20</v>
      </c>
      <c r="AC420" t="s">
        <v>40</v>
      </c>
    </row>
    <row r="421" spans="1:29" x14ac:dyDescent="0.25">
      <c r="A421" t="str">
        <f t="shared" si="7"/>
        <v>EEM_EG_Pavlovagyrans_raw_002_008_C8.csv</v>
      </c>
      <c r="B421" t="s">
        <v>29</v>
      </c>
      <c r="C421" t="s">
        <v>30</v>
      </c>
      <c r="D421" t="s">
        <v>30</v>
      </c>
      <c r="E421" t="s">
        <v>31</v>
      </c>
      <c r="F421">
        <v>2</v>
      </c>
      <c r="G421">
        <v>8</v>
      </c>
      <c r="H421" t="s">
        <v>65</v>
      </c>
      <c r="I421" t="s">
        <v>33</v>
      </c>
      <c r="J421" t="s">
        <v>34</v>
      </c>
      <c r="K421" s="1">
        <v>0.31929999999999997</v>
      </c>
      <c r="L421" t="s">
        <v>30</v>
      </c>
      <c r="M421">
        <v>22</v>
      </c>
      <c r="N421" t="s">
        <v>94</v>
      </c>
      <c r="O421" t="s">
        <v>245</v>
      </c>
      <c r="P421">
        <v>336</v>
      </c>
      <c r="Q421">
        <v>50</v>
      </c>
      <c r="R421" t="s">
        <v>36</v>
      </c>
      <c r="S421">
        <v>12</v>
      </c>
      <c r="T421">
        <v>12</v>
      </c>
      <c r="U421" t="s">
        <v>112</v>
      </c>
      <c r="V421" t="s">
        <v>37</v>
      </c>
      <c r="W421">
        <v>450</v>
      </c>
      <c r="X421">
        <v>60</v>
      </c>
      <c r="Y421" t="s">
        <v>38</v>
      </c>
      <c r="Z421">
        <v>20</v>
      </c>
      <c r="AA421" t="s">
        <v>39</v>
      </c>
      <c r="AB421">
        <v>20</v>
      </c>
      <c r="AC421" t="s">
        <v>40</v>
      </c>
    </row>
    <row r="422" spans="1:29" x14ac:dyDescent="0.25">
      <c r="A422" t="str">
        <f t="shared" si="7"/>
        <v>EEM_EG_Pavlovagyrans_raw_002_008_C9.csv</v>
      </c>
      <c r="B422" t="s">
        <v>29</v>
      </c>
      <c r="C422" t="s">
        <v>30</v>
      </c>
      <c r="D422" t="s">
        <v>30</v>
      </c>
      <c r="E422" t="s">
        <v>31</v>
      </c>
      <c r="F422">
        <v>2</v>
      </c>
      <c r="G422">
        <v>8</v>
      </c>
      <c r="H422" t="s">
        <v>66</v>
      </c>
      <c r="I422" t="s">
        <v>33</v>
      </c>
      <c r="J422" t="s">
        <v>34</v>
      </c>
      <c r="K422" s="1">
        <v>0.2702</v>
      </c>
      <c r="L422" t="s">
        <v>30</v>
      </c>
      <c r="M422">
        <v>22</v>
      </c>
      <c r="N422" t="s">
        <v>56</v>
      </c>
      <c r="O422" t="s">
        <v>245</v>
      </c>
      <c r="P422">
        <v>336</v>
      </c>
      <c r="Q422">
        <v>50</v>
      </c>
      <c r="R422" t="s">
        <v>36</v>
      </c>
      <c r="S422">
        <v>12</v>
      </c>
      <c r="T422">
        <v>12</v>
      </c>
      <c r="U422" t="s">
        <v>112</v>
      </c>
      <c r="V422" t="s">
        <v>37</v>
      </c>
      <c r="W422">
        <v>450</v>
      </c>
      <c r="X422">
        <v>60</v>
      </c>
      <c r="Y422" t="s">
        <v>38</v>
      </c>
      <c r="Z422">
        <v>20</v>
      </c>
      <c r="AA422" t="s">
        <v>39</v>
      </c>
      <c r="AB422">
        <v>20</v>
      </c>
      <c r="AC422" t="s">
        <v>40</v>
      </c>
    </row>
    <row r="423" spans="1:29" x14ac:dyDescent="0.25">
      <c r="A423" t="str">
        <f t="shared" si="7"/>
        <v>EEM_EG_Pavlovagyrans_raw_002_008_C10.csv</v>
      </c>
      <c r="B423" t="s">
        <v>29</v>
      </c>
      <c r="C423" t="s">
        <v>30</v>
      </c>
      <c r="D423" t="s">
        <v>30</v>
      </c>
      <c r="E423" t="s">
        <v>31</v>
      </c>
      <c r="F423">
        <v>2</v>
      </c>
      <c r="G423">
        <v>8</v>
      </c>
      <c r="H423" t="s">
        <v>67</v>
      </c>
      <c r="I423" t="s">
        <v>33</v>
      </c>
      <c r="J423" t="s">
        <v>34</v>
      </c>
      <c r="K423" s="1">
        <v>0.158</v>
      </c>
      <c r="L423" t="s">
        <v>30</v>
      </c>
      <c r="M423">
        <v>22</v>
      </c>
      <c r="N423" t="s">
        <v>96</v>
      </c>
      <c r="O423" t="s">
        <v>245</v>
      </c>
      <c r="P423">
        <v>336</v>
      </c>
      <c r="Q423">
        <v>50</v>
      </c>
      <c r="R423" t="s">
        <v>36</v>
      </c>
      <c r="S423">
        <v>12</v>
      </c>
      <c r="T423">
        <v>12</v>
      </c>
      <c r="U423" t="s">
        <v>112</v>
      </c>
      <c r="V423" t="s">
        <v>37</v>
      </c>
      <c r="W423">
        <v>450</v>
      </c>
      <c r="X423">
        <v>60</v>
      </c>
      <c r="Y423" t="s">
        <v>38</v>
      </c>
      <c r="Z423">
        <v>20</v>
      </c>
      <c r="AA423" t="s">
        <v>39</v>
      </c>
      <c r="AB423">
        <v>20</v>
      </c>
      <c r="AC423" t="s">
        <v>40</v>
      </c>
    </row>
    <row r="424" spans="1:29" x14ac:dyDescent="0.25">
      <c r="A424" t="str">
        <f t="shared" si="7"/>
        <v>EEM_EG_Pavlovagyrans_raw_002_008_C11.csv</v>
      </c>
      <c r="B424" t="s">
        <v>29</v>
      </c>
      <c r="C424" t="s">
        <v>30</v>
      </c>
      <c r="D424" t="s">
        <v>30</v>
      </c>
      <c r="E424" t="s">
        <v>31</v>
      </c>
      <c r="F424">
        <v>2</v>
      </c>
      <c r="G424">
        <v>8</v>
      </c>
      <c r="H424" t="s">
        <v>68</v>
      </c>
      <c r="I424" t="s">
        <v>33</v>
      </c>
      <c r="J424" t="s">
        <v>34</v>
      </c>
      <c r="K424" s="1">
        <v>0.14530000000000001</v>
      </c>
      <c r="L424" t="s">
        <v>30</v>
      </c>
      <c r="M424">
        <v>22</v>
      </c>
      <c r="N424" t="s">
        <v>58</v>
      </c>
      <c r="O424" t="s">
        <v>245</v>
      </c>
      <c r="P424">
        <v>336</v>
      </c>
      <c r="Q424">
        <v>50</v>
      </c>
      <c r="R424" t="s">
        <v>36</v>
      </c>
      <c r="S424">
        <v>12</v>
      </c>
      <c r="T424">
        <v>12</v>
      </c>
      <c r="U424" t="s">
        <v>112</v>
      </c>
      <c r="V424" t="s">
        <v>37</v>
      </c>
      <c r="W424">
        <v>450</v>
      </c>
      <c r="X424">
        <v>60</v>
      </c>
      <c r="Y424" t="s">
        <v>38</v>
      </c>
      <c r="Z424">
        <v>20</v>
      </c>
      <c r="AA424" t="s">
        <v>39</v>
      </c>
      <c r="AB424">
        <v>20</v>
      </c>
      <c r="AC424" t="s">
        <v>40</v>
      </c>
    </row>
    <row r="425" spans="1:29" x14ac:dyDescent="0.25">
      <c r="A425" t="str">
        <f t="shared" si="7"/>
        <v>EEM_EG_Pavlovagyrans_raw_002_008_D1.csv</v>
      </c>
      <c r="B425" t="s">
        <v>29</v>
      </c>
      <c r="C425" t="s">
        <v>30</v>
      </c>
      <c r="D425" t="s">
        <v>30</v>
      </c>
      <c r="E425" t="s">
        <v>31</v>
      </c>
      <c r="F425">
        <v>2</v>
      </c>
      <c r="G425">
        <v>8</v>
      </c>
      <c r="H425" t="s">
        <v>146</v>
      </c>
      <c r="I425" t="s">
        <v>33</v>
      </c>
      <c r="J425" t="s">
        <v>34</v>
      </c>
      <c r="K425" s="1">
        <v>0.13500000000000001</v>
      </c>
      <c r="L425" t="s">
        <v>30</v>
      </c>
      <c r="M425">
        <v>22</v>
      </c>
      <c r="N425" t="s">
        <v>48</v>
      </c>
      <c r="O425" t="s">
        <v>245</v>
      </c>
      <c r="P425">
        <v>336</v>
      </c>
      <c r="Q425">
        <v>50</v>
      </c>
      <c r="R425" t="s">
        <v>36</v>
      </c>
      <c r="S425">
        <v>12</v>
      </c>
      <c r="T425">
        <v>12</v>
      </c>
      <c r="U425" t="s">
        <v>112</v>
      </c>
      <c r="V425" t="s">
        <v>37</v>
      </c>
      <c r="W425">
        <v>450</v>
      </c>
      <c r="X425">
        <v>60</v>
      </c>
      <c r="Y425" t="s">
        <v>38</v>
      </c>
      <c r="Z425">
        <v>20</v>
      </c>
      <c r="AA425" t="s">
        <v>39</v>
      </c>
      <c r="AB425">
        <v>20</v>
      </c>
      <c r="AC425" t="s">
        <v>40</v>
      </c>
    </row>
    <row r="426" spans="1:29" x14ac:dyDescent="0.25">
      <c r="A426" t="str">
        <f t="shared" si="7"/>
        <v>EEM_EG_Pavlovagyrans_raw_002_008_D2.csv</v>
      </c>
      <c r="B426" t="s">
        <v>29</v>
      </c>
      <c r="C426" t="s">
        <v>30</v>
      </c>
      <c r="D426" t="s">
        <v>30</v>
      </c>
      <c r="E426" t="s">
        <v>31</v>
      </c>
      <c r="F426">
        <v>2</v>
      </c>
      <c r="G426">
        <v>8</v>
      </c>
      <c r="H426" t="s">
        <v>69</v>
      </c>
      <c r="I426" t="s">
        <v>33</v>
      </c>
      <c r="J426" t="s">
        <v>34</v>
      </c>
      <c r="K426" s="1">
        <v>0.1666</v>
      </c>
      <c r="L426" t="s">
        <v>30</v>
      </c>
      <c r="M426">
        <v>22</v>
      </c>
      <c r="N426" t="s">
        <v>88</v>
      </c>
      <c r="O426" t="s">
        <v>245</v>
      </c>
      <c r="P426">
        <v>336</v>
      </c>
      <c r="Q426">
        <v>50</v>
      </c>
      <c r="R426" t="s">
        <v>36</v>
      </c>
      <c r="S426">
        <v>12</v>
      </c>
      <c r="T426">
        <v>12</v>
      </c>
      <c r="U426" t="s">
        <v>112</v>
      </c>
      <c r="V426" t="s">
        <v>37</v>
      </c>
      <c r="W426">
        <v>450</v>
      </c>
      <c r="X426">
        <v>60</v>
      </c>
      <c r="Y426" t="s">
        <v>38</v>
      </c>
      <c r="Z426">
        <v>20</v>
      </c>
      <c r="AA426" t="s">
        <v>39</v>
      </c>
      <c r="AB426">
        <v>20</v>
      </c>
      <c r="AC426" t="s">
        <v>40</v>
      </c>
    </row>
    <row r="427" spans="1:29" x14ac:dyDescent="0.25">
      <c r="A427" t="str">
        <f t="shared" si="7"/>
        <v>EEM_EG_Pavlovagyrans_raw_002_008_D3.csv</v>
      </c>
      <c r="B427" t="s">
        <v>29</v>
      </c>
      <c r="C427" t="s">
        <v>30</v>
      </c>
      <c r="D427" t="s">
        <v>30</v>
      </c>
      <c r="E427" t="s">
        <v>31</v>
      </c>
      <c r="F427">
        <v>2</v>
      </c>
      <c r="G427">
        <v>8</v>
      </c>
      <c r="H427" t="s">
        <v>70</v>
      </c>
      <c r="I427" t="s">
        <v>33</v>
      </c>
      <c r="J427" t="s">
        <v>34</v>
      </c>
      <c r="K427" s="1">
        <v>0.1411</v>
      </c>
      <c r="L427" t="s">
        <v>30</v>
      </c>
      <c r="M427">
        <v>22</v>
      </c>
      <c r="N427" t="s">
        <v>50</v>
      </c>
      <c r="O427" t="s">
        <v>245</v>
      </c>
      <c r="P427">
        <v>336</v>
      </c>
      <c r="Q427">
        <v>50</v>
      </c>
      <c r="R427" t="s">
        <v>36</v>
      </c>
      <c r="S427">
        <v>12</v>
      </c>
      <c r="T427">
        <v>12</v>
      </c>
      <c r="U427" t="s">
        <v>112</v>
      </c>
      <c r="V427" t="s">
        <v>37</v>
      </c>
      <c r="W427">
        <v>450</v>
      </c>
      <c r="X427">
        <v>60</v>
      </c>
      <c r="Y427" t="s">
        <v>38</v>
      </c>
      <c r="Z427">
        <v>20</v>
      </c>
      <c r="AA427" t="s">
        <v>39</v>
      </c>
      <c r="AB427">
        <v>20</v>
      </c>
      <c r="AC427" t="s">
        <v>40</v>
      </c>
    </row>
    <row r="428" spans="1:29" x14ac:dyDescent="0.25">
      <c r="A428" t="str">
        <f t="shared" si="7"/>
        <v>EEM_EG_Pavlovagyrans_raw_002_008_D4.csv</v>
      </c>
      <c r="B428" t="s">
        <v>29</v>
      </c>
      <c r="C428" t="s">
        <v>30</v>
      </c>
      <c r="D428" t="s">
        <v>30</v>
      </c>
      <c r="E428" t="s">
        <v>31</v>
      </c>
      <c r="F428">
        <v>2</v>
      </c>
      <c r="G428">
        <v>8</v>
      </c>
      <c r="H428" t="s">
        <v>71</v>
      </c>
      <c r="I428" t="s">
        <v>33</v>
      </c>
      <c r="J428" t="s">
        <v>34</v>
      </c>
      <c r="K428" s="1">
        <v>0.20280000000000001</v>
      </c>
      <c r="L428" t="s">
        <v>30</v>
      </c>
      <c r="M428">
        <v>22</v>
      </c>
      <c r="N428" t="s">
        <v>90</v>
      </c>
      <c r="O428" t="s">
        <v>245</v>
      </c>
      <c r="P428">
        <v>336</v>
      </c>
      <c r="Q428">
        <v>50</v>
      </c>
      <c r="R428" t="s">
        <v>36</v>
      </c>
      <c r="S428">
        <v>12</v>
      </c>
      <c r="T428">
        <v>12</v>
      </c>
      <c r="U428" t="s">
        <v>112</v>
      </c>
      <c r="V428" t="s">
        <v>37</v>
      </c>
      <c r="W428">
        <v>450</v>
      </c>
      <c r="X428">
        <v>60</v>
      </c>
      <c r="Y428" t="s">
        <v>38</v>
      </c>
      <c r="Z428">
        <v>20</v>
      </c>
      <c r="AA428" t="s">
        <v>39</v>
      </c>
      <c r="AB428">
        <v>20</v>
      </c>
      <c r="AC428" t="s">
        <v>40</v>
      </c>
    </row>
    <row r="429" spans="1:29" x14ac:dyDescent="0.25">
      <c r="A429" t="str">
        <f t="shared" si="7"/>
        <v>EEM_EG_Pavlovagyrans_raw_002_008_D5.csv</v>
      </c>
      <c r="B429" t="s">
        <v>29</v>
      </c>
      <c r="C429" t="s">
        <v>30</v>
      </c>
      <c r="D429" t="s">
        <v>30</v>
      </c>
      <c r="E429" t="s">
        <v>31</v>
      </c>
      <c r="F429">
        <v>2</v>
      </c>
      <c r="G429">
        <v>8</v>
      </c>
      <c r="H429" t="s">
        <v>72</v>
      </c>
      <c r="I429" t="s">
        <v>33</v>
      </c>
      <c r="J429" t="s">
        <v>34</v>
      </c>
      <c r="K429" s="1">
        <v>0.161</v>
      </c>
      <c r="L429" t="s">
        <v>30</v>
      </c>
      <c r="M429">
        <v>22</v>
      </c>
      <c r="N429" t="s">
        <v>52</v>
      </c>
      <c r="O429" t="s">
        <v>245</v>
      </c>
      <c r="P429">
        <v>336</v>
      </c>
      <c r="Q429">
        <v>50</v>
      </c>
      <c r="R429" t="s">
        <v>36</v>
      </c>
      <c r="S429">
        <v>12</v>
      </c>
      <c r="T429">
        <v>12</v>
      </c>
      <c r="U429" t="s">
        <v>112</v>
      </c>
      <c r="V429" t="s">
        <v>37</v>
      </c>
      <c r="W429">
        <v>450</v>
      </c>
      <c r="X429">
        <v>60</v>
      </c>
      <c r="Y429" t="s">
        <v>38</v>
      </c>
      <c r="Z429">
        <v>20</v>
      </c>
      <c r="AA429" t="s">
        <v>39</v>
      </c>
      <c r="AB429">
        <v>20</v>
      </c>
      <c r="AC429" t="s">
        <v>40</v>
      </c>
    </row>
    <row r="430" spans="1:29" x14ac:dyDescent="0.25">
      <c r="A430" t="str">
        <f t="shared" si="7"/>
        <v>EEM_EG_Pavlovagyrans_raw_002_008_D6.csv</v>
      </c>
      <c r="B430" t="s">
        <v>29</v>
      </c>
      <c r="C430" t="s">
        <v>30</v>
      </c>
      <c r="D430" t="s">
        <v>30</v>
      </c>
      <c r="E430" t="s">
        <v>31</v>
      </c>
      <c r="F430">
        <v>2</v>
      </c>
      <c r="G430">
        <v>8</v>
      </c>
      <c r="H430" t="s">
        <v>73</v>
      </c>
      <c r="I430" t="s">
        <v>33</v>
      </c>
      <c r="J430" t="s">
        <v>34</v>
      </c>
      <c r="K430" s="1">
        <v>0.18509999999999999</v>
      </c>
      <c r="L430" t="s">
        <v>30</v>
      </c>
      <c r="M430">
        <v>22</v>
      </c>
      <c r="N430" t="s">
        <v>92</v>
      </c>
      <c r="O430" t="s">
        <v>245</v>
      </c>
      <c r="P430">
        <v>336</v>
      </c>
      <c r="Q430">
        <v>50</v>
      </c>
      <c r="R430" t="s">
        <v>36</v>
      </c>
      <c r="S430">
        <v>12</v>
      </c>
      <c r="T430">
        <v>12</v>
      </c>
      <c r="U430" t="s">
        <v>112</v>
      </c>
      <c r="V430" t="s">
        <v>37</v>
      </c>
      <c r="W430">
        <v>450</v>
      </c>
      <c r="X430">
        <v>60</v>
      </c>
      <c r="Y430" t="s">
        <v>38</v>
      </c>
      <c r="Z430">
        <v>20</v>
      </c>
      <c r="AA430" t="s">
        <v>39</v>
      </c>
      <c r="AB430">
        <v>20</v>
      </c>
      <c r="AC430" t="s">
        <v>40</v>
      </c>
    </row>
    <row r="431" spans="1:29" x14ac:dyDescent="0.25">
      <c r="A431" t="str">
        <f t="shared" si="7"/>
        <v>EEM_EG_Pavlovagyrans_raw_002_008_D7.csv</v>
      </c>
      <c r="B431" t="s">
        <v>29</v>
      </c>
      <c r="C431" t="s">
        <v>30</v>
      </c>
      <c r="D431" t="s">
        <v>30</v>
      </c>
      <c r="E431" t="s">
        <v>31</v>
      </c>
      <c r="F431">
        <v>2</v>
      </c>
      <c r="G431">
        <v>8</v>
      </c>
      <c r="H431" t="s">
        <v>74</v>
      </c>
      <c r="I431" t="s">
        <v>33</v>
      </c>
      <c r="J431" t="s">
        <v>34</v>
      </c>
      <c r="K431" s="1">
        <v>0.13930000000000001</v>
      </c>
      <c r="L431" t="s">
        <v>30</v>
      </c>
      <c r="M431">
        <v>22</v>
      </c>
      <c r="N431" t="s">
        <v>54</v>
      </c>
      <c r="O431" t="s">
        <v>245</v>
      </c>
      <c r="P431">
        <v>336</v>
      </c>
      <c r="Q431">
        <v>50</v>
      </c>
      <c r="R431" t="s">
        <v>36</v>
      </c>
      <c r="S431">
        <v>12</v>
      </c>
      <c r="T431">
        <v>12</v>
      </c>
      <c r="U431" t="s">
        <v>112</v>
      </c>
      <c r="V431" t="s">
        <v>37</v>
      </c>
      <c r="W431">
        <v>450</v>
      </c>
      <c r="X431">
        <v>60</v>
      </c>
      <c r="Y431" t="s">
        <v>38</v>
      </c>
      <c r="Z431">
        <v>20</v>
      </c>
      <c r="AA431" t="s">
        <v>39</v>
      </c>
      <c r="AB431">
        <v>20</v>
      </c>
      <c r="AC431" t="s">
        <v>40</v>
      </c>
    </row>
    <row r="432" spans="1:29" x14ac:dyDescent="0.25">
      <c r="A432" t="str">
        <f t="shared" si="7"/>
        <v>EEM_EG_Pavlovagyrans_raw_002_008_D8.csv</v>
      </c>
      <c r="B432" t="s">
        <v>29</v>
      </c>
      <c r="C432" t="s">
        <v>30</v>
      </c>
      <c r="D432" t="s">
        <v>30</v>
      </c>
      <c r="E432" t="s">
        <v>31</v>
      </c>
      <c r="F432">
        <v>2</v>
      </c>
      <c r="G432">
        <v>8</v>
      </c>
      <c r="H432" t="s">
        <v>75</v>
      </c>
      <c r="I432" t="s">
        <v>33</v>
      </c>
      <c r="J432" t="s">
        <v>34</v>
      </c>
      <c r="K432" s="1">
        <v>0.30709999999999998</v>
      </c>
      <c r="L432" t="s">
        <v>30</v>
      </c>
      <c r="M432">
        <v>22</v>
      </c>
      <c r="N432" t="s">
        <v>94</v>
      </c>
      <c r="O432" t="s">
        <v>245</v>
      </c>
      <c r="P432">
        <v>336</v>
      </c>
      <c r="Q432">
        <v>50</v>
      </c>
      <c r="R432" t="s">
        <v>36</v>
      </c>
      <c r="S432">
        <v>12</v>
      </c>
      <c r="T432">
        <v>12</v>
      </c>
      <c r="U432" t="s">
        <v>112</v>
      </c>
      <c r="V432" t="s">
        <v>37</v>
      </c>
      <c r="W432">
        <v>450</v>
      </c>
      <c r="X432">
        <v>60</v>
      </c>
      <c r="Y432" t="s">
        <v>38</v>
      </c>
      <c r="Z432">
        <v>20</v>
      </c>
      <c r="AA432" t="s">
        <v>39</v>
      </c>
      <c r="AB432">
        <v>20</v>
      </c>
      <c r="AC432" t="s">
        <v>40</v>
      </c>
    </row>
    <row r="433" spans="1:29" x14ac:dyDescent="0.25">
      <c r="A433" t="str">
        <f t="shared" si="7"/>
        <v>EEM_EG_Pavlovagyrans_raw_002_008_D9.csv</v>
      </c>
      <c r="B433" t="s">
        <v>29</v>
      </c>
      <c r="C433" t="s">
        <v>30</v>
      </c>
      <c r="D433" t="s">
        <v>30</v>
      </c>
      <c r="E433" t="s">
        <v>31</v>
      </c>
      <c r="F433">
        <v>2</v>
      </c>
      <c r="G433">
        <v>8</v>
      </c>
      <c r="H433" t="s">
        <v>76</v>
      </c>
      <c r="I433" t="s">
        <v>33</v>
      </c>
      <c r="J433" t="s">
        <v>34</v>
      </c>
      <c r="K433" s="1">
        <v>0.32229999999999998</v>
      </c>
      <c r="L433" t="s">
        <v>30</v>
      </c>
      <c r="M433">
        <v>22</v>
      </c>
      <c r="N433" t="s">
        <v>56</v>
      </c>
      <c r="O433" t="s">
        <v>245</v>
      </c>
      <c r="P433">
        <v>336</v>
      </c>
      <c r="Q433">
        <v>50</v>
      </c>
      <c r="R433" t="s">
        <v>36</v>
      </c>
      <c r="S433">
        <v>12</v>
      </c>
      <c r="T433">
        <v>12</v>
      </c>
      <c r="U433" t="s">
        <v>112</v>
      </c>
      <c r="V433" t="s">
        <v>37</v>
      </c>
      <c r="W433">
        <v>450</v>
      </c>
      <c r="X433">
        <v>60</v>
      </c>
      <c r="Y433" t="s">
        <v>38</v>
      </c>
      <c r="Z433">
        <v>20</v>
      </c>
      <c r="AA433" t="s">
        <v>39</v>
      </c>
      <c r="AB433">
        <v>20</v>
      </c>
      <c r="AC433" t="s">
        <v>40</v>
      </c>
    </row>
    <row r="434" spans="1:29" x14ac:dyDescent="0.25">
      <c r="A434" t="str">
        <f t="shared" si="7"/>
        <v>EEM_EG_Pavlovagyrans_raw_002_008_D10.csv</v>
      </c>
      <c r="B434" t="s">
        <v>29</v>
      </c>
      <c r="C434" t="s">
        <v>30</v>
      </c>
      <c r="D434" t="s">
        <v>30</v>
      </c>
      <c r="E434" t="s">
        <v>31</v>
      </c>
      <c r="F434">
        <v>2</v>
      </c>
      <c r="G434">
        <v>8</v>
      </c>
      <c r="H434" t="s">
        <v>77</v>
      </c>
      <c r="I434" t="s">
        <v>33</v>
      </c>
      <c r="J434" t="s">
        <v>34</v>
      </c>
      <c r="K434" s="1">
        <v>0.15079999999999999</v>
      </c>
      <c r="L434" t="s">
        <v>30</v>
      </c>
      <c r="M434">
        <v>22</v>
      </c>
      <c r="N434" t="s">
        <v>96</v>
      </c>
      <c r="O434" t="s">
        <v>245</v>
      </c>
      <c r="P434">
        <v>336</v>
      </c>
      <c r="Q434">
        <v>50</v>
      </c>
      <c r="R434" t="s">
        <v>36</v>
      </c>
      <c r="S434">
        <v>12</v>
      </c>
      <c r="T434">
        <v>12</v>
      </c>
      <c r="U434" t="s">
        <v>112</v>
      </c>
      <c r="V434" t="s">
        <v>37</v>
      </c>
      <c r="W434">
        <v>450</v>
      </c>
      <c r="X434">
        <v>60</v>
      </c>
      <c r="Y434" t="s">
        <v>38</v>
      </c>
      <c r="Z434">
        <v>20</v>
      </c>
      <c r="AA434" t="s">
        <v>39</v>
      </c>
      <c r="AB434">
        <v>20</v>
      </c>
      <c r="AC434" t="s">
        <v>40</v>
      </c>
    </row>
    <row r="435" spans="1:29" x14ac:dyDescent="0.25">
      <c r="A435" t="str">
        <f t="shared" si="7"/>
        <v>EEM_EG_Pavlovagyrans_raw_002_008_D11.csv</v>
      </c>
      <c r="B435" t="s">
        <v>29</v>
      </c>
      <c r="C435" t="s">
        <v>30</v>
      </c>
      <c r="D435" t="s">
        <v>30</v>
      </c>
      <c r="E435" t="s">
        <v>31</v>
      </c>
      <c r="F435">
        <v>2</v>
      </c>
      <c r="G435">
        <v>8</v>
      </c>
      <c r="H435" t="s">
        <v>78</v>
      </c>
      <c r="I435" t="s">
        <v>33</v>
      </c>
      <c r="J435" t="s">
        <v>34</v>
      </c>
      <c r="K435" s="1">
        <v>0.14899999999999999</v>
      </c>
      <c r="L435" t="s">
        <v>30</v>
      </c>
      <c r="M435">
        <v>22</v>
      </c>
      <c r="N435" t="s">
        <v>58</v>
      </c>
      <c r="O435" t="s">
        <v>245</v>
      </c>
      <c r="P435">
        <v>336</v>
      </c>
      <c r="Q435">
        <v>50</v>
      </c>
      <c r="R435" t="s">
        <v>36</v>
      </c>
      <c r="S435">
        <v>12</v>
      </c>
      <c r="T435">
        <v>12</v>
      </c>
      <c r="U435" t="s">
        <v>112</v>
      </c>
      <c r="V435" t="s">
        <v>37</v>
      </c>
      <c r="W435">
        <v>450</v>
      </c>
      <c r="X435">
        <v>60</v>
      </c>
      <c r="Y435" t="s">
        <v>38</v>
      </c>
      <c r="Z435">
        <v>20</v>
      </c>
      <c r="AA435" t="s">
        <v>39</v>
      </c>
      <c r="AB435">
        <v>20</v>
      </c>
      <c r="AC435" t="s">
        <v>40</v>
      </c>
    </row>
    <row r="436" spans="1:29" x14ac:dyDescent="0.25">
      <c r="A436" t="str">
        <f t="shared" si="7"/>
        <v>EEM_EG_Pavlovagyrans_raw_002_008_E1.csv</v>
      </c>
      <c r="B436" t="s">
        <v>29</v>
      </c>
      <c r="C436" t="s">
        <v>30</v>
      </c>
      <c r="D436" t="s">
        <v>30</v>
      </c>
      <c r="E436" t="s">
        <v>31</v>
      </c>
      <c r="F436">
        <v>2</v>
      </c>
      <c r="G436">
        <v>8</v>
      </c>
      <c r="H436" t="s">
        <v>155</v>
      </c>
      <c r="I436" t="s">
        <v>33</v>
      </c>
      <c r="J436" t="s">
        <v>34</v>
      </c>
      <c r="K436" s="1">
        <v>0.1731</v>
      </c>
      <c r="L436" t="s">
        <v>30</v>
      </c>
      <c r="M436">
        <v>22</v>
      </c>
      <c r="N436" t="s">
        <v>48</v>
      </c>
      <c r="O436" t="s">
        <v>245</v>
      </c>
      <c r="P436">
        <v>336</v>
      </c>
      <c r="Q436">
        <v>50</v>
      </c>
      <c r="R436" t="s">
        <v>36</v>
      </c>
      <c r="S436">
        <v>12</v>
      </c>
      <c r="T436">
        <v>12</v>
      </c>
      <c r="U436" t="s">
        <v>112</v>
      </c>
      <c r="V436" t="s">
        <v>37</v>
      </c>
      <c r="W436">
        <v>450</v>
      </c>
      <c r="X436">
        <v>60</v>
      </c>
      <c r="Y436" t="s">
        <v>38</v>
      </c>
      <c r="Z436">
        <v>20</v>
      </c>
      <c r="AA436" t="s">
        <v>39</v>
      </c>
      <c r="AB436">
        <v>20</v>
      </c>
      <c r="AC436" t="s">
        <v>40</v>
      </c>
    </row>
    <row r="437" spans="1:29" x14ac:dyDescent="0.25">
      <c r="A437" t="str">
        <f t="shared" si="7"/>
        <v>EEM_EG_Pavlovagyrans_raw_002_008_E2.csv</v>
      </c>
      <c r="B437" t="s">
        <v>29</v>
      </c>
      <c r="C437" t="s">
        <v>30</v>
      </c>
      <c r="D437" t="s">
        <v>30</v>
      </c>
      <c r="E437" t="s">
        <v>31</v>
      </c>
      <c r="F437">
        <v>2</v>
      </c>
      <c r="G437">
        <v>8</v>
      </c>
      <c r="H437" t="s">
        <v>79</v>
      </c>
      <c r="I437" t="s">
        <v>33</v>
      </c>
      <c r="J437" t="s">
        <v>34</v>
      </c>
      <c r="K437" s="1">
        <v>0.12859999999999999</v>
      </c>
      <c r="L437" t="s">
        <v>30</v>
      </c>
      <c r="M437">
        <v>22</v>
      </c>
      <c r="N437" t="s">
        <v>88</v>
      </c>
      <c r="O437" t="s">
        <v>245</v>
      </c>
      <c r="P437">
        <v>336</v>
      </c>
      <c r="Q437">
        <v>50</v>
      </c>
      <c r="R437" t="s">
        <v>36</v>
      </c>
      <c r="S437">
        <v>12</v>
      </c>
      <c r="T437">
        <v>12</v>
      </c>
      <c r="U437" t="s">
        <v>112</v>
      </c>
      <c r="V437" t="s">
        <v>37</v>
      </c>
      <c r="W437">
        <v>450</v>
      </c>
      <c r="X437">
        <v>60</v>
      </c>
      <c r="Y437" t="s">
        <v>38</v>
      </c>
      <c r="Z437">
        <v>20</v>
      </c>
      <c r="AA437" t="s">
        <v>39</v>
      </c>
      <c r="AB437">
        <v>20</v>
      </c>
      <c r="AC437" t="s">
        <v>40</v>
      </c>
    </row>
    <row r="438" spans="1:29" x14ac:dyDescent="0.25">
      <c r="A438" t="str">
        <f t="shared" si="7"/>
        <v>EEM_EG_Pavlovagyrans_raw_002_008_E3.csv</v>
      </c>
      <c r="B438" t="s">
        <v>29</v>
      </c>
      <c r="C438" t="s">
        <v>30</v>
      </c>
      <c r="D438" t="s">
        <v>30</v>
      </c>
      <c r="E438" t="s">
        <v>31</v>
      </c>
      <c r="F438">
        <v>2</v>
      </c>
      <c r="G438">
        <v>8</v>
      </c>
      <c r="H438" t="s">
        <v>81</v>
      </c>
      <c r="I438" t="s">
        <v>33</v>
      </c>
      <c r="J438" t="s">
        <v>34</v>
      </c>
      <c r="K438" s="1">
        <v>0.21529999999999999</v>
      </c>
      <c r="L438" t="s">
        <v>30</v>
      </c>
      <c r="M438">
        <v>22</v>
      </c>
      <c r="N438" t="s">
        <v>50</v>
      </c>
      <c r="O438" t="s">
        <v>245</v>
      </c>
      <c r="P438">
        <v>336</v>
      </c>
      <c r="Q438">
        <v>50</v>
      </c>
      <c r="R438" t="s">
        <v>36</v>
      </c>
      <c r="S438">
        <v>12</v>
      </c>
      <c r="T438">
        <v>12</v>
      </c>
      <c r="U438" t="s">
        <v>112</v>
      </c>
      <c r="V438" t="s">
        <v>37</v>
      </c>
      <c r="W438">
        <v>450</v>
      </c>
      <c r="X438">
        <v>60</v>
      </c>
      <c r="Y438" t="s">
        <v>38</v>
      </c>
      <c r="Z438">
        <v>20</v>
      </c>
      <c r="AA438" t="s">
        <v>39</v>
      </c>
      <c r="AB438">
        <v>20</v>
      </c>
      <c r="AC438" t="s">
        <v>40</v>
      </c>
    </row>
    <row r="439" spans="1:29" x14ac:dyDescent="0.25">
      <c r="A439" t="str">
        <f t="shared" si="7"/>
        <v>EEM_EG_Pavlovagyrans_raw_002_008_E4.csv</v>
      </c>
      <c r="B439" t="s">
        <v>29</v>
      </c>
      <c r="C439" t="s">
        <v>30</v>
      </c>
      <c r="D439" t="s">
        <v>30</v>
      </c>
      <c r="E439" t="s">
        <v>31</v>
      </c>
      <c r="F439">
        <v>2</v>
      </c>
      <c r="G439">
        <v>8</v>
      </c>
      <c r="H439" t="s">
        <v>83</v>
      </c>
      <c r="I439" t="s">
        <v>33</v>
      </c>
      <c r="J439" t="s">
        <v>34</v>
      </c>
      <c r="K439" s="1">
        <v>0.23230000000000001</v>
      </c>
      <c r="L439" t="s">
        <v>30</v>
      </c>
      <c r="M439">
        <v>22</v>
      </c>
      <c r="N439" t="s">
        <v>90</v>
      </c>
      <c r="O439" t="s">
        <v>245</v>
      </c>
      <c r="P439">
        <v>336</v>
      </c>
      <c r="Q439">
        <v>50</v>
      </c>
      <c r="R439" t="s">
        <v>36</v>
      </c>
      <c r="S439">
        <v>12</v>
      </c>
      <c r="T439">
        <v>12</v>
      </c>
      <c r="U439" t="s">
        <v>112</v>
      </c>
      <c r="V439" t="s">
        <v>37</v>
      </c>
      <c r="W439">
        <v>450</v>
      </c>
      <c r="X439">
        <v>60</v>
      </c>
      <c r="Y439" t="s">
        <v>38</v>
      </c>
      <c r="Z439">
        <v>20</v>
      </c>
      <c r="AA439" t="s">
        <v>39</v>
      </c>
      <c r="AB439">
        <v>20</v>
      </c>
      <c r="AC439" t="s">
        <v>40</v>
      </c>
    </row>
    <row r="440" spans="1:29" x14ac:dyDescent="0.25">
      <c r="A440" t="str">
        <f t="shared" si="7"/>
        <v>EEM_EG_Pavlovagyrans_raw_002_008_E5.csv</v>
      </c>
      <c r="B440" t="s">
        <v>29</v>
      </c>
      <c r="C440" t="s">
        <v>30</v>
      </c>
      <c r="D440" t="s">
        <v>30</v>
      </c>
      <c r="E440" t="s">
        <v>31</v>
      </c>
      <c r="F440">
        <v>2</v>
      </c>
      <c r="G440">
        <v>8</v>
      </c>
      <c r="H440" t="s">
        <v>85</v>
      </c>
      <c r="I440" t="s">
        <v>33</v>
      </c>
      <c r="J440" t="s">
        <v>34</v>
      </c>
      <c r="K440" s="1">
        <v>0.2107</v>
      </c>
      <c r="L440" t="s">
        <v>30</v>
      </c>
      <c r="M440">
        <v>22</v>
      </c>
      <c r="N440" t="s">
        <v>52</v>
      </c>
      <c r="O440" t="s">
        <v>245</v>
      </c>
      <c r="P440">
        <v>336</v>
      </c>
      <c r="Q440">
        <v>50</v>
      </c>
      <c r="R440" t="s">
        <v>36</v>
      </c>
      <c r="S440">
        <v>12</v>
      </c>
      <c r="T440">
        <v>12</v>
      </c>
      <c r="U440" t="s">
        <v>112</v>
      </c>
      <c r="V440" t="s">
        <v>37</v>
      </c>
      <c r="W440">
        <v>450</v>
      </c>
      <c r="X440">
        <v>60</v>
      </c>
      <c r="Y440" t="s">
        <v>38</v>
      </c>
      <c r="Z440">
        <v>20</v>
      </c>
      <c r="AA440" t="s">
        <v>39</v>
      </c>
      <c r="AB440">
        <v>20</v>
      </c>
      <c r="AC440" t="s">
        <v>40</v>
      </c>
    </row>
    <row r="441" spans="1:29" x14ac:dyDescent="0.25">
      <c r="A441" t="str">
        <f t="shared" si="7"/>
        <v>EEM_EG_Pavlovagyrans_raw_002_008_E6.csv</v>
      </c>
      <c r="B441" t="s">
        <v>29</v>
      </c>
      <c r="C441" t="s">
        <v>30</v>
      </c>
      <c r="D441" t="s">
        <v>30</v>
      </c>
      <c r="E441" t="s">
        <v>31</v>
      </c>
      <c r="F441">
        <v>2</v>
      </c>
      <c r="G441">
        <v>8</v>
      </c>
      <c r="H441" t="s">
        <v>87</v>
      </c>
      <c r="I441" t="s">
        <v>33</v>
      </c>
      <c r="J441" t="s">
        <v>34</v>
      </c>
      <c r="K441" s="1">
        <v>0.2089</v>
      </c>
      <c r="L441" t="s">
        <v>30</v>
      </c>
      <c r="M441">
        <v>22</v>
      </c>
      <c r="N441" t="s">
        <v>92</v>
      </c>
      <c r="O441" t="s">
        <v>245</v>
      </c>
      <c r="P441">
        <v>336</v>
      </c>
      <c r="Q441">
        <v>50</v>
      </c>
      <c r="R441" t="s">
        <v>36</v>
      </c>
      <c r="S441">
        <v>12</v>
      </c>
      <c r="T441">
        <v>12</v>
      </c>
      <c r="U441" t="s">
        <v>112</v>
      </c>
      <c r="V441" t="s">
        <v>37</v>
      </c>
      <c r="W441">
        <v>450</v>
      </c>
      <c r="X441">
        <v>60</v>
      </c>
      <c r="Y441" t="s">
        <v>38</v>
      </c>
      <c r="Z441">
        <v>20</v>
      </c>
      <c r="AA441" t="s">
        <v>39</v>
      </c>
      <c r="AB441">
        <v>20</v>
      </c>
      <c r="AC441" t="s">
        <v>40</v>
      </c>
    </row>
    <row r="442" spans="1:29" x14ac:dyDescent="0.25">
      <c r="A442" t="str">
        <f t="shared" si="7"/>
        <v>EEM_EG_Pavlovagyrans_raw_002_008_E7.csv</v>
      </c>
      <c r="B442" t="s">
        <v>29</v>
      </c>
      <c r="C442" t="s">
        <v>30</v>
      </c>
      <c r="D442" t="s">
        <v>30</v>
      </c>
      <c r="E442" t="s">
        <v>31</v>
      </c>
      <c r="F442">
        <v>2</v>
      </c>
      <c r="G442">
        <v>8</v>
      </c>
      <c r="H442" t="s">
        <v>89</v>
      </c>
      <c r="I442" t="s">
        <v>33</v>
      </c>
      <c r="J442" t="s">
        <v>34</v>
      </c>
      <c r="K442" s="1">
        <v>0.17180000000000001</v>
      </c>
      <c r="L442" t="s">
        <v>30</v>
      </c>
      <c r="M442">
        <v>22</v>
      </c>
      <c r="N442" t="s">
        <v>54</v>
      </c>
      <c r="O442" t="s">
        <v>245</v>
      </c>
      <c r="P442">
        <v>336</v>
      </c>
      <c r="Q442">
        <v>50</v>
      </c>
      <c r="R442" t="s">
        <v>36</v>
      </c>
      <c r="S442">
        <v>12</v>
      </c>
      <c r="T442">
        <v>12</v>
      </c>
      <c r="U442" t="s">
        <v>112</v>
      </c>
      <c r="V442" t="s">
        <v>37</v>
      </c>
      <c r="W442">
        <v>450</v>
      </c>
      <c r="X442">
        <v>60</v>
      </c>
      <c r="Y442" t="s">
        <v>38</v>
      </c>
      <c r="Z442">
        <v>20</v>
      </c>
      <c r="AA442" t="s">
        <v>39</v>
      </c>
      <c r="AB442">
        <v>20</v>
      </c>
      <c r="AC442" t="s">
        <v>40</v>
      </c>
    </row>
    <row r="443" spans="1:29" x14ac:dyDescent="0.25">
      <c r="A443" t="str">
        <f t="shared" si="7"/>
        <v>EEM_EG_Pavlovagyrans_raw_002_008_E8.csv</v>
      </c>
      <c r="B443" t="s">
        <v>29</v>
      </c>
      <c r="C443" t="s">
        <v>30</v>
      </c>
      <c r="D443" t="s">
        <v>30</v>
      </c>
      <c r="E443" t="s">
        <v>31</v>
      </c>
      <c r="F443">
        <v>2</v>
      </c>
      <c r="G443">
        <v>8</v>
      </c>
      <c r="H443" t="s">
        <v>91</v>
      </c>
      <c r="I443" t="s">
        <v>33</v>
      </c>
      <c r="J443" t="s">
        <v>34</v>
      </c>
      <c r="K443" s="1">
        <v>0.35460000000000003</v>
      </c>
      <c r="L443" t="s">
        <v>30</v>
      </c>
      <c r="M443">
        <v>22</v>
      </c>
      <c r="N443" t="s">
        <v>94</v>
      </c>
      <c r="O443" t="s">
        <v>245</v>
      </c>
      <c r="P443">
        <v>336</v>
      </c>
      <c r="Q443">
        <v>50</v>
      </c>
      <c r="R443" t="s">
        <v>36</v>
      </c>
      <c r="S443">
        <v>12</v>
      </c>
      <c r="T443">
        <v>12</v>
      </c>
      <c r="U443" t="s">
        <v>112</v>
      </c>
      <c r="V443" t="s">
        <v>37</v>
      </c>
      <c r="W443">
        <v>450</v>
      </c>
      <c r="X443">
        <v>60</v>
      </c>
      <c r="Y443" t="s">
        <v>38</v>
      </c>
      <c r="Z443">
        <v>20</v>
      </c>
      <c r="AA443" t="s">
        <v>39</v>
      </c>
      <c r="AB443">
        <v>20</v>
      </c>
      <c r="AC443" t="s">
        <v>40</v>
      </c>
    </row>
    <row r="444" spans="1:29" x14ac:dyDescent="0.25">
      <c r="A444" t="str">
        <f t="shared" si="7"/>
        <v>EEM_EG_Pavlovagyrans_raw_002_008_E9.csv</v>
      </c>
      <c r="B444" t="s">
        <v>29</v>
      </c>
      <c r="C444" t="s">
        <v>30</v>
      </c>
      <c r="D444" t="s">
        <v>30</v>
      </c>
      <c r="E444" t="s">
        <v>31</v>
      </c>
      <c r="F444">
        <v>2</v>
      </c>
      <c r="G444">
        <v>8</v>
      </c>
      <c r="H444" t="s">
        <v>93</v>
      </c>
      <c r="I444" t="s">
        <v>33</v>
      </c>
      <c r="J444" t="s">
        <v>34</v>
      </c>
      <c r="K444" s="1">
        <v>0.312</v>
      </c>
      <c r="L444" t="s">
        <v>30</v>
      </c>
      <c r="M444">
        <v>22</v>
      </c>
      <c r="N444" t="s">
        <v>56</v>
      </c>
      <c r="O444" t="s">
        <v>245</v>
      </c>
      <c r="P444">
        <v>336</v>
      </c>
      <c r="Q444">
        <v>50</v>
      </c>
      <c r="R444" t="s">
        <v>36</v>
      </c>
      <c r="S444">
        <v>12</v>
      </c>
      <c r="T444">
        <v>12</v>
      </c>
      <c r="U444" t="s">
        <v>112</v>
      </c>
      <c r="V444" t="s">
        <v>37</v>
      </c>
      <c r="W444">
        <v>450</v>
      </c>
      <c r="X444">
        <v>60</v>
      </c>
      <c r="Y444" t="s">
        <v>38</v>
      </c>
      <c r="Z444">
        <v>20</v>
      </c>
      <c r="AA444" t="s">
        <v>39</v>
      </c>
      <c r="AB444">
        <v>20</v>
      </c>
      <c r="AC444" t="s">
        <v>40</v>
      </c>
    </row>
    <row r="445" spans="1:29" x14ac:dyDescent="0.25">
      <c r="A445" t="str">
        <f t="shared" si="7"/>
        <v>EEM_EG_Pavlovagyrans_raw_002_008_E10.csv</v>
      </c>
      <c r="B445" t="s">
        <v>29</v>
      </c>
      <c r="C445" t="s">
        <v>30</v>
      </c>
      <c r="D445" t="s">
        <v>30</v>
      </c>
      <c r="E445" t="s">
        <v>31</v>
      </c>
      <c r="F445">
        <v>2</v>
      </c>
      <c r="G445">
        <v>8</v>
      </c>
      <c r="H445" t="s">
        <v>95</v>
      </c>
      <c r="I445" t="s">
        <v>33</v>
      </c>
      <c r="J445" t="s">
        <v>34</v>
      </c>
      <c r="K445" s="1">
        <v>0.1585</v>
      </c>
      <c r="L445" t="s">
        <v>30</v>
      </c>
      <c r="M445">
        <v>22</v>
      </c>
      <c r="N445" t="s">
        <v>96</v>
      </c>
      <c r="O445" t="s">
        <v>245</v>
      </c>
      <c r="P445">
        <v>336</v>
      </c>
      <c r="Q445">
        <v>50</v>
      </c>
      <c r="R445" t="s">
        <v>36</v>
      </c>
      <c r="S445">
        <v>12</v>
      </c>
      <c r="T445">
        <v>12</v>
      </c>
      <c r="U445" t="s">
        <v>112</v>
      </c>
      <c r="V445" t="s">
        <v>37</v>
      </c>
      <c r="W445">
        <v>450</v>
      </c>
      <c r="X445">
        <v>60</v>
      </c>
      <c r="Y445" t="s">
        <v>38</v>
      </c>
      <c r="Z445">
        <v>20</v>
      </c>
      <c r="AA445" t="s">
        <v>39</v>
      </c>
      <c r="AB445">
        <v>20</v>
      </c>
      <c r="AC445" t="s">
        <v>40</v>
      </c>
    </row>
    <row r="446" spans="1:29" x14ac:dyDescent="0.25">
      <c r="A446" t="str">
        <f t="shared" si="7"/>
        <v>EEM_EG_Pavlovagyrans_raw_002_008_E11.csv</v>
      </c>
      <c r="B446" t="s">
        <v>29</v>
      </c>
      <c r="C446" t="s">
        <v>30</v>
      </c>
      <c r="D446" t="s">
        <v>30</v>
      </c>
      <c r="E446" t="s">
        <v>31</v>
      </c>
      <c r="F446">
        <v>2</v>
      </c>
      <c r="G446">
        <v>8</v>
      </c>
      <c r="H446" t="s">
        <v>97</v>
      </c>
      <c r="I446" t="s">
        <v>33</v>
      </c>
      <c r="J446" t="s">
        <v>34</v>
      </c>
      <c r="K446" s="1">
        <v>0.14610000000000001</v>
      </c>
      <c r="L446" t="s">
        <v>30</v>
      </c>
      <c r="M446">
        <v>22</v>
      </c>
      <c r="N446" t="s">
        <v>58</v>
      </c>
      <c r="O446" t="s">
        <v>245</v>
      </c>
      <c r="P446">
        <v>336</v>
      </c>
      <c r="Q446">
        <v>50</v>
      </c>
      <c r="R446" t="s">
        <v>36</v>
      </c>
      <c r="S446">
        <v>12</v>
      </c>
      <c r="T446">
        <v>12</v>
      </c>
      <c r="U446" t="s">
        <v>112</v>
      </c>
      <c r="V446" t="s">
        <v>37</v>
      </c>
      <c r="W446">
        <v>450</v>
      </c>
      <c r="X446">
        <v>60</v>
      </c>
      <c r="Y446" t="s">
        <v>38</v>
      </c>
      <c r="Z446">
        <v>20</v>
      </c>
      <c r="AA446" t="s">
        <v>39</v>
      </c>
      <c r="AB446">
        <v>20</v>
      </c>
      <c r="AC446" t="s">
        <v>40</v>
      </c>
    </row>
    <row r="447" spans="1:29" x14ac:dyDescent="0.25">
      <c r="A447" t="str">
        <f t="shared" si="7"/>
        <v>EEM_EG_Pavlovagyrans_raw_002_008_F1.csv</v>
      </c>
      <c r="B447" t="s">
        <v>29</v>
      </c>
      <c r="C447" t="s">
        <v>30</v>
      </c>
      <c r="D447" t="s">
        <v>30</v>
      </c>
      <c r="E447" t="s">
        <v>31</v>
      </c>
      <c r="F447">
        <v>2</v>
      </c>
      <c r="G447">
        <v>8</v>
      </c>
      <c r="H447" t="s">
        <v>164</v>
      </c>
      <c r="I447" t="s">
        <v>33</v>
      </c>
      <c r="J447" t="s">
        <v>34</v>
      </c>
      <c r="K447" s="1">
        <v>0.14649999999999999</v>
      </c>
      <c r="L447" t="s">
        <v>30</v>
      </c>
      <c r="M447">
        <v>22</v>
      </c>
      <c r="N447" t="s">
        <v>48</v>
      </c>
      <c r="O447" t="s">
        <v>245</v>
      </c>
      <c r="P447">
        <v>336</v>
      </c>
      <c r="Q447">
        <v>50</v>
      </c>
      <c r="R447" t="s">
        <v>36</v>
      </c>
      <c r="S447">
        <v>12</v>
      </c>
      <c r="T447">
        <v>12</v>
      </c>
      <c r="U447" t="s">
        <v>112</v>
      </c>
      <c r="V447" t="s">
        <v>37</v>
      </c>
      <c r="W447">
        <v>450</v>
      </c>
      <c r="X447">
        <v>60</v>
      </c>
      <c r="Y447" t="s">
        <v>38</v>
      </c>
      <c r="Z447">
        <v>20</v>
      </c>
      <c r="AA447" t="s">
        <v>39</v>
      </c>
      <c r="AB447">
        <v>20</v>
      </c>
      <c r="AC447" t="s">
        <v>40</v>
      </c>
    </row>
    <row r="448" spans="1:29" x14ac:dyDescent="0.25">
      <c r="A448" t="str">
        <f t="shared" si="7"/>
        <v>EEM_EG_Pavlovagyrans_raw_002_008_F2.csv</v>
      </c>
      <c r="B448" t="s">
        <v>29</v>
      </c>
      <c r="C448" t="s">
        <v>30</v>
      </c>
      <c r="D448" t="s">
        <v>30</v>
      </c>
      <c r="E448" t="s">
        <v>31</v>
      </c>
      <c r="F448">
        <v>2</v>
      </c>
      <c r="G448">
        <v>8</v>
      </c>
      <c r="H448" t="s">
        <v>98</v>
      </c>
      <c r="I448" t="s">
        <v>33</v>
      </c>
      <c r="J448" t="s">
        <v>34</v>
      </c>
      <c r="K448" s="1">
        <v>0.16059999999999999</v>
      </c>
      <c r="L448" t="s">
        <v>30</v>
      </c>
      <c r="M448">
        <v>22</v>
      </c>
      <c r="N448" t="s">
        <v>88</v>
      </c>
      <c r="O448" t="s">
        <v>245</v>
      </c>
      <c r="P448">
        <v>336</v>
      </c>
      <c r="Q448">
        <v>50</v>
      </c>
      <c r="R448" t="s">
        <v>36</v>
      </c>
      <c r="S448">
        <v>12</v>
      </c>
      <c r="T448">
        <v>12</v>
      </c>
      <c r="U448" t="s">
        <v>112</v>
      </c>
      <c r="V448" t="s">
        <v>37</v>
      </c>
      <c r="W448">
        <v>450</v>
      </c>
      <c r="X448">
        <v>60</v>
      </c>
      <c r="Y448" t="s">
        <v>38</v>
      </c>
      <c r="Z448">
        <v>20</v>
      </c>
      <c r="AA448" t="s">
        <v>39</v>
      </c>
      <c r="AB448">
        <v>20</v>
      </c>
      <c r="AC448" t="s">
        <v>40</v>
      </c>
    </row>
    <row r="449" spans="1:29" x14ac:dyDescent="0.25">
      <c r="A449" t="str">
        <f t="shared" si="7"/>
        <v>EEM_EG_Pavlovagyrans_raw_002_008_F3.csv</v>
      </c>
      <c r="B449" t="s">
        <v>29</v>
      </c>
      <c r="C449" t="s">
        <v>30</v>
      </c>
      <c r="D449" t="s">
        <v>30</v>
      </c>
      <c r="E449" t="s">
        <v>31</v>
      </c>
      <c r="F449">
        <v>2</v>
      </c>
      <c r="G449">
        <v>8</v>
      </c>
      <c r="H449" t="s">
        <v>99</v>
      </c>
      <c r="I449" t="s">
        <v>33</v>
      </c>
      <c r="J449" t="s">
        <v>34</v>
      </c>
      <c r="K449" s="1">
        <v>0.20730000000000001</v>
      </c>
      <c r="L449" t="s">
        <v>30</v>
      </c>
      <c r="M449">
        <v>22</v>
      </c>
      <c r="N449" t="s">
        <v>50</v>
      </c>
      <c r="O449" t="s">
        <v>245</v>
      </c>
      <c r="P449">
        <v>336</v>
      </c>
      <c r="Q449">
        <v>50</v>
      </c>
      <c r="R449" t="s">
        <v>36</v>
      </c>
      <c r="S449">
        <v>12</v>
      </c>
      <c r="T449">
        <v>12</v>
      </c>
      <c r="U449" t="s">
        <v>112</v>
      </c>
      <c r="V449" t="s">
        <v>37</v>
      </c>
      <c r="W449">
        <v>450</v>
      </c>
      <c r="X449">
        <v>60</v>
      </c>
      <c r="Y449" t="s">
        <v>38</v>
      </c>
      <c r="Z449">
        <v>20</v>
      </c>
      <c r="AA449" t="s">
        <v>39</v>
      </c>
      <c r="AB449">
        <v>20</v>
      </c>
      <c r="AC449" t="s">
        <v>40</v>
      </c>
    </row>
    <row r="450" spans="1:29" x14ac:dyDescent="0.25">
      <c r="A450" t="str">
        <f t="shared" si="7"/>
        <v>EEM_EG_Pavlovagyrans_raw_002_008_F4.csv</v>
      </c>
      <c r="B450" t="s">
        <v>29</v>
      </c>
      <c r="C450" t="s">
        <v>30</v>
      </c>
      <c r="D450" t="s">
        <v>30</v>
      </c>
      <c r="E450" t="s">
        <v>31</v>
      </c>
      <c r="F450">
        <v>2</v>
      </c>
      <c r="G450">
        <v>8</v>
      </c>
      <c r="H450" t="s">
        <v>100</v>
      </c>
      <c r="I450" t="s">
        <v>33</v>
      </c>
      <c r="J450" t="s">
        <v>34</v>
      </c>
      <c r="K450" s="1">
        <v>0.19370000000000001</v>
      </c>
      <c r="L450" t="s">
        <v>30</v>
      </c>
      <c r="M450">
        <v>22</v>
      </c>
      <c r="N450" t="s">
        <v>90</v>
      </c>
      <c r="O450" t="s">
        <v>245</v>
      </c>
      <c r="P450">
        <v>336</v>
      </c>
      <c r="Q450">
        <v>50</v>
      </c>
      <c r="R450" t="s">
        <v>36</v>
      </c>
      <c r="S450">
        <v>12</v>
      </c>
      <c r="T450">
        <v>12</v>
      </c>
      <c r="U450" t="s">
        <v>112</v>
      </c>
      <c r="V450" t="s">
        <v>37</v>
      </c>
      <c r="W450">
        <v>450</v>
      </c>
      <c r="X450">
        <v>60</v>
      </c>
      <c r="Y450" t="s">
        <v>38</v>
      </c>
      <c r="Z450">
        <v>20</v>
      </c>
      <c r="AA450" t="s">
        <v>39</v>
      </c>
      <c r="AB450">
        <v>20</v>
      </c>
      <c r="AC450" t="s">
        <v>40</v>
      </c>
    </row>
    <row r="451" spans="1:29" x14ac:dyDescent="0.25">
      <c r="A451" t="str">
        <f t="shared" si="7"/>
        <v>EEM_EG_Pavlovagyrans_raw_002_008_F5.csv</v>
      </c>
      <c r="B451" t="s">
        <v>29</v>
      </c>
      <c r="C451" t="s">
        <v>30</v>
      </c>
      <c r="D451" t="s">
        <v>30</v>
      </c>
      <c r="E451" t="s">
        <v>31</v>
      </c>
      <c r="F451">
        <v>2</v>
      </c>
      <c r="G451">
        <v>8</v>
      </c>
      <c r="H451" t="s">
        <v>101</v>
      </c>
      <c r="I451" t="s">
        <v>33</v>
      </c>
      <c r="J451" t="s">
        <v>34</v>
      </c>
      <c r="K451" s="1">
        <v>0.1492</v>
      </c>
      <c r="L451" t="s">
        <v>30</v>
      </c>
      <c r="M451">
        <v>22</v>
      </c>
      <c r="N451" t="s">
        <v>52</v>
      </c>
      <c r="O451" t="s">
        <v>245</v>
      </c>
      <c r="P451">
        <v>336</v>
      </c>
      <c r="Q451">
        <v>50</v>
      </c>
      <c r="R451" t="s">
        <v>36</v>
      </c>
      <c r="S451">
        <v>12</v>
      </c>
      <c r="T451">
        <v>12</v>
      </c>
      <c r="U451" t="s">
        <v>112</v>
      </c>
      <c r="V451" t="s">
        <v>37</v>
      </c>
      <c r="W451">
        <v>450</v>
      </c>
      <c r="X451">
        <v>60</v>
      </c>
      <c r="Y451" t="s">
        <v>38</v>
      </c>
      <c r="Z451">
        <v>20</v>
      </c>
      <c r="AA451" t="s">
        <v>39</v>
      </c>
      <c r="AB451">
        <v>20</v>
      </c>
      <c r="AC451" t="s">
        <v>40</v>
      </c>
    </row>
    <row r="452" spans="1:29" x14ac:dyDescent="0.25">
      <c r="A452" t="str">
        <f t="shared" si="7"/>
        <v>EEM_EG_Pavlovagyrans_raw_002_008_F6.csv</v>
      </c>
      <c r="B452" t="s">
        <v>29</v>
      </c>
      <c r="C452" t="s">
        <v>30</v>
      </c>
      <c r="D452" t="s">
        <v>30</v>
      </c>
      <c r="E452" t="s">
        <v>31</v>
      </c>
      <c r="F452">
        <v>2</v>
      </c>
      <c r="G452">
        <v>8</v>
      </c>
      <c r="H452" t="s">
        <v>102</v>
      </c>
      <c r="I452" t="s">
        <v>33</v>
      </c>
      <c r="J452" t="s">
        <v>34</v>
      </c>
      <c r="K452" s="1">
        <v>0.16389999999999999</v>
      </c>
      <c r="L452" t="s">
        <v>30</v>
      </c>
      <c r="M452">
        <v>22</v>
      </c>
      <c r="N452" t="s">
        <v>92</v>
      </c>
      <c r="O452" t="s">
        <v>245</v>
      </c>
      <c r="P452">
        <v>336</v>
      </c>
      <c r="Q452">
        <v>50</v>
      </c>
      <c r="R452" t="s">
        <v>36</v>
      </c>
      <c r="S452">
        <v>12</v>
      </c>
      <c r="T452">
        <v>12</v>
      </c>
      <c r="U452" t="s">
        <v>112</v>
      </c>
      <c r="V452" t="s">
        <v>37</v>
      </c>
      <c r="W452">
        <v>450</v>
      </c>
      <c r="X452">
        <v>60</v>
      </c>
      <c r="Y452" t="s">
        <v>38</v>
      </c>
      <c r="Z452">
        <v>20</v>
      </c>
      <c r="AA452" t="s">
        <v>39</v>
      </c>
      <c r="AB452">
        <v>20</v>
      </c>
      <c r="AC452" t="s">
        <v>40</v>
      </c>
    </row>
    <row r="453" spans="1:29" x14ac:dyDescent="0.25">
      <c r="A453" t="str">
        <f t="shared" si="7"/>
        <v>EEM_EG_Pavlovagyrans_raw_002_008_F7.csv</v>
      </c>
      <c r="B453" t="s">
        <v>29</v>
      </c>
      <c r="C453" t="s">
        <v>30</v>
      </c>
      <c r="D453" t="s">
        <v>30</v>
      </c>
      <c r="E453" t="s">
        <v>31</v>
      </c>
      <c r="F453">
        <v>2</v>
      </c>
      <c r="G453">
        <v>8</v>
      </c>
      <c r="H453" t="s">
        <v>103</v>
      </c>
      <c r="I453" t="s">
        <v>33</v>
      </c>
      <c r="J453" t="s">
        <v>34</v>
      </c>
      <c r="K453" s="1">
        <v>0.15970000000000001</v>
      </c>
      <c r="L453" t="s">
        <v>30</v>
      </c>
      <c r="M453">
        <v>22</v>
      </c>
      <c r="N453" t="s">
        <v>54</v>
      </c>
      <c r="O453" t="s">
        <v>245</v>
      </c>
      <c r="P453">
        <v>336</v>
      </c>
      <c r="Q453">
        <v>50</v>
      </c>
      <c r="R453" t="s">
        <v>36</v>
      </c>
      <c r="S453">
        <v>12</v>
      </c>
      <c r="T453">
        <v>12</v>
      </c>
      <c r="U453" t="s">
        <v>112</v>
      </c>
      <c r="V453" t="s">
        <v>37</v>
      </c>
      <c r="W453">
        <v>450</v>
      </c>
      <c r="X453">
        <v>60</v>
      </c>
      <c r="Y453" t="s">
        <v>38</v>
      </c>
      <c r="Z453">
        <v>20</v>
      </c>
      <c r="AA453" t="s">
        <v>39</v>
      </c>
      <c r="AB453">
        <v>20</v>
      </c>
      <c r="AC453" t="s">
        <v>40</v>
      </c>
    </row>
    <row r="454" spans="1:29" x14ac:dyDescent="0.25">
      <c r="A454" t="str">
        <f t="shared" si="7"/>
        <v>EEM_EG_Pavlovagyrans_raw_002_008_F8.csv</v>
      </c>
      <c r="B454" t="s">
        <v>29</v>
      </c>
      <c r="C454" t="s">
        <v>30</v>
      </c>
      <c r="D454" t="s">
        <v>30</v>
      </c>
      <c r="E454" t="s">
        <v>31</v>
      </c>
      <c r="F454">
        <v>2</v>
      </c>
      <c r="G454">
        <v>8</v>
      </c>
      <c r="H454" t="s">
        <v>104</v>
      </c>
      <c r="I454" t="s">
        <v>33</v>
      </c>
      <c r="J454" t="s">
        <v>34</v>
      </c>
      <c r="K454" s="1">
        <v>0.33179999999999998</v>
      </c>
      <c r="L454" t="s">
        <v>30</v>
      </c>
      <c r="M454">
        <v>22</v>
      </c>
      <c r="N454" t="s">
        <v>94</v>
      </c>
      <c r="O454" t="s">
        <v>245</v>
      </c>
      <c r="P454">
        <v>336</v>
      </c>
      <c r="Q454">
        <v>50</v>
      </c>
      <c r="R454" t="s">
        <v>36</v>
      </c>
      <c r="S454">
        <v>12</v>
      </c>
      <c r="T454">
        <v>12</v>
      </c>
      <c r="U454" t="s">
        <v>112</v>
      </c>
      <c r="V454" t="s">
        <v>37</v>
      </c>
      <c r="W454">
        <v>450</v>
      </c>
      <c r="X454">
        <v>60</v>
      </c>
      <c r="Y454" t="s">
        <v>38</v>
      </c>
      <c r="Z454">
        <v>20</v>
      </c>
      <c r="AA454" t="s">
        <v>39</v>
      </c>
      <c r="AB454">
        <v>20</v>
      </c>
      <c r="AC454" t="s">
        <v>40</v>
      </c>
    </row>
    <row r="455" spans="1:29" x14ac:dyDescent="0.25">
      <c r="A455" t="str">
        <f t="shared" si="7"/>
        <v>EEM_EG_Pavlovagyrans_raw_002_008_F9.csv</v>
      </c>
      <c r="B455" t="s">
        <v>29</v>
      </c>
      <c r="C455" t="s">
        <v>30</v>
      </c>
      <c r="D455" t="s">
        <v>30</v>
      </c>
      <c r="E455" t="s">
        <v>31</v>
      </c>
      <c r="F455">
        <v>2</v>
      </c>
      <c r="G455">
        <v>8</v>
      </c>
      <c r="H455" t="s">
        <v>105</v>
      </c>
      <c r="I455" t="s">
        <v>33</v>
      </c>
      <c r="J455" t="s">
        <v>34</v>
      </c>
      <c r="K455" s="1">
        <v>0.27529999999999999</v>
      </c>
      <c r="L455" t="s">
        <v>30</v>
      </c>
      <c r="M455">
        <v>22</v>
      </c>
      <c r="N455" t="s">
        <v>56</v>
      </c>
      <c r="O455" t="s">
        <v>245</v>
      </c>
      <c r="P455">
        <v>336</v>
      </c>
      <c r="Q455">
        <v>50</v>
      </c>
      <c r="R455" t="s">
        <v>36</v>
      </c>
      <c r="S455">
        <v>12</v>
      </c>
      <c r="T455">
        <v>12</v>
      </c>
      <c r="U455" t="s">
        <v>112</v>
      </c>
      <c r="V455" t="s">
        <v>37</v>
      </c>
      <c r="W455">
        <v>450</v>
      </c>
      <c r="X455">
        <v>60</v>
      </c>
      <c r="Y455" t="s">
        <v>38</v>
      </c>
      <c r="Z455">
        <v>20</v>
      </c>
      <c r="AA455" t="s">
        <v>39</v>
      </c>
      <c r="AB455">
        <v>20</v>
      </c>
      <c r="AC455" t="s">
        <v>40</v>
      </c>
    </row>
    <row r="456" spans="1:29" x14ac:dyDescent="0.25">
      <c r="A456" t="str">
        <f t="shared" si="7"/>
        <v>EEM_EG_Pavlovagyrans_raw_002_008_F10.csv</v>
      </c>
      <c r="B456" t="s">
        <v>29</v>
      </c>
      <c r="C456" t="s">
        <v>30</v>
      </c>
      <c r="D456" t="s">
        <v>30</v>
      </c>
      <c r="E456" t="s">
        <v>31</v>
      </c>
      <c r="F456">
        <v>2</v>
      </c>
      <c r="G456">
        <v>8</v>
      </c>
      <c r="H456" t="s">
        <v>106</v>
      </c>
      <c r="I456" t="s">
        <v>33</v>
      </c>
      <c r="J456" t="s">
        <v>34</v>
      </c>
      <c r="K456" s="1">
        <v>0.15559999999999999</v>
      </c>
      <c r="L456" t="s">
        <v>30</v>
      </c>
      <c r="M456">
        <v>22</v>
      </c>
      <c r="N456" t="s">
        <v>96</v>
      </c>
      <c r="O456" t="s">
        <v>245</v>
      </c>
      <c r="P456">
        <v>336</v>
      </c>
      <c r="Q456">
        <v>50</v>
      </c>
      <c r="R456" t="s">
        <v>36</v>
      </c>
      <c r="S456">
        <v>12</v>
      </c>
      <c r="T456">
        <v>12</v>
      </c>
      <c r="U456" t="s">
        <v>112</v>
      </c>
      <c r="V456" t="s">
        <v>37</v>
      </c>
      <c r="W456">
        <v>450</v>
      </c>
      <c r="X456">
        <v>60</v>
      </c>
      <c r="Y456" t="s">
        <v>38</v>
      </c>
      <c r="Z456">
        <v>20</v>
      </c>
      <c r="AA456" t="s">
        <v>39</v>
      </c>
      <c r="AB456">
        <v>20</v>
      </c>
      <c r="AC456" t="s">
        <v>40</v>
      </c>
    </row>
    <row r="457" spans="1:29" x14ac:dyDescent="0.25">
      <c r="A457" t="str">
        <f t="shared" ref="A457" si="8">"EEM_EG_Pavlovagyrans_raw_002_008_"&amp;H457&amp;".csv"</f>
        <v>EEM_EG_Pavlovagyrans_raw_002_008_F11.csv</v>
      </c>
      <c r="B457" t="s">
        <v>29</v>
      </c>
      <c r="C457" t="s">
        <v>30</v>
      </c>
      <c r="D457" t="s">
        <v>30</v>
      </c>
      <c r="E457" t="s">
        <v>31</v>
      </c>
      <c r="F457">
        <v>2</v>
      </c>
      <c r="G457">
        <v>8</v>
      </c>
      <c r="H457" t="s">
        <v>107</v>
      </c>
      <c r="I457" t="s">
        <v>33</v>
      </c>
      <c r="J457" t="s">
        <v>34</v>
      </c>
      <c r="K457" s="1">
        <v>0.154</v>
      </c>
      <c r="L457" t="s">
        <v>30</v>
      </c>
      <c r="M457">
        <v>22</v>
      </c>
      <c r="N457" t="s">
        <v>58</v>
      </c>
      <c r="O457" t="s">
        <v>245</v>
      </c>
      <c r="P457">
        <v>336</v>
      </c>
      <c r="Q457">
        <v>50</v>
      </c>
      <c r="R457" t="s">
        <v>36</v>
      </c>
      <c r="S457">
        <v>12</v>
      </c>
      <c r="T457">
        <v>12</v>
      </c>
      <c r="U457" t="s">
        <v>112</v>
      </c>
      <c r="V457" t="s">
        <v>37</v>
      </c>
      <c r="W457">
        <v>450</v>
      </c>
      <c r="X457">
        <v>60</v>
      </c>
      <c r="Y457" t="s">
        <v>38</v>
      </c>
      <c r="Z457">
        <v>20</v>
      </c>
      <c r="AA457" t="s">
        <v>39</v>
      </c>
      <c r="AB457">
        <v>20</v>
      </c>
      <c r="AC457" t="s">
        <v>40</v>
      </c>
    </row>
    <row r="458" spans="1:29" x14ac:dyDescent="0.25">
      <c r="A458" t="s">
        <v>246</v>
      </c>
      <c r="B458" t="s">
        <v>29</v>
      </c>
      <c r="C458" t="s">
        <v>30</v>
      </c>
      <c r="D458" t="s">
        <v>30</v>
      </c>
      <c r="E458" t="s">
        <v>31</v>
      </c>
      <c r="F458">
        <v>3</v>
      </c>
      <c r="G458">
        <v>1</v>
      </c>
      <c r="H458" t="s">
        <v>110</v>
      </c>
      <c r="I458" t="s">
        <v>33</v>
      </c>
      <c r="J458" t="s">
        <v>34</v>
      </c>
      <c r="K458" s="1">
        <v>0.24909999999999999</v>
      </c>
      <c r="L458" t="s">
        <v>30</v>
      </c>
      <c r="M458">
        <v>22</v>
      </c>
      <c r="N458" t="s">
        <v>98</v>
      </c>
      <c r="O458" t="s">
        <v>108</v>
      </c>
      <c r="P458">
        <v>0</v>
      </c>
      <c r="Q458">
        <v>100</v>
      </c>
      <c r="R458" t="s">
        <v>36</v>
      </c>
      <c r="S458">
        <v>12</v>
      </c>
      <c r="T458">
        <v>12</v>
      </c>
      <c r="U458" t="s">
        <v>247</v>
      </c>
      <c r="V458" t="s">
        <v>37</v>
      </c>
      <c r="W458">
        <v>2000</v>
      </c>
      <c r="X458">
        <v>60</v>
      </c>
      <c r="Y458" t="s">
        <v>38</v>
      </c>
      <c r="Z458">
        <v>20</v>
      </c>
      <c r="AA458" t="s">
        <v>39</v>
      </c>
      <c r="AB458">
        <v>20</v>
      </c>
      <c r="AC458" t="s">
        <v>40</v>
      </c>
    </row>
    <row r="459" spans="1:29" x14ac:dyDescent="0.25">
      <c r="A459" t="s">
        <v>248</v>
      </c>
      <c r="B459" t="s">
        <v>29</v>
      </c>
      <c r="C459" t="s">
        <v>30</v>
      </c>
      <c r="D459" t="s">
        <v>30</v>
      </c>
      <c r="E459" t="s">
        <v>31</v>
      </c>
      <c r="F459">
        <v>3</v>
      </c>
      <c r="G459">
        <v>1</v>
      </c>
      <c r="H459" t="s">
        <v>114</v>
      </c>
      <c r="I459" t="s">
        <v>33</v>
      </c>
      <c r="J459" t="s">
        <v>34</v>
      </c>
      <c r="K459" s="1">
        <v>0.26400000000000001</v>
      </c>
      <c r="L459" t="s">
        <v>30</v>
      </c>
      <c r="M459">
        <v>22</v>
      </c>
      <c r="N459" t="s">
        <v>98</v>
      </c>
      <c r="O459" t="s">
        <v>108</v>
      </c>
      <c r="P459">
        <v>0</v>
      </c>
      <c r="Q459">
        <v>100</v>
      </c>
      <c r="R459" t="s">
        <v>36</v>
      </c>
      <c r="S459">
        <v>12</v>
      </c>
      <c r="T459">
        <v>12</v>
      </c>
      <c r="U459" t="s">
        <v>247</v>
      </c>
      <c r="V459" t="s">
        <v>37</v>
      </c>
      <c r="W459">
        <v>2000</v>
      </c>
      <c r="X459">
        <v>60</v>
      </c>
      <c r="Y459" t="s">
        <v>38</v>
      </c>
      <c r="Z459">
        <v>20</v>
      </c>
      <c r="AA459" t="s">
        <v>39</v>
      </c>
      <c r="AB459">
        <v>20</v>
      </c>
      <c r="AC459" t="s">
        <v>40</v>
      </c>
    </row>
    <row r="460" spans="1:29" x14ac:dyDescent="0.25">
      <c r="A460" t="s">
        <v>249</v>
      </c>
      <c r="B460" t="s">
        <v>29</v>
      </c>
      <c r="C460" t="s">
        <v>30</v>
      </c>
      <c r="D460" t="s">
        <v>30</v>
      </c>
      <c r="E460" t="s">
        <v>31</v>
      </c>
      <c r="F460">
        <v>3</v>
      </c>
      <c r="G460">
        <v>1</v>
      </c>
      <c r="H460" t="s">
        <v>116</v>
      </c>
      <c r="I460" t="s">
        <v>33</v>
      </c>
      <c r="J460" t="s">
        <v>34</v>
      </c>
      <c r="K460" s="1">
        <v>0.2671</v>
      </c>
      <c r="L460" t="s">
        <v>30</v>
      </c>
      <c r="M460">
        <v>22</v>
      </c>
      <c r="N460" t="s">
        <v>98</v>
      </c>
      <c r="O460" t="s">
        <v>108</v>
      </c>
      <c r="P460">
        <v>0</v>
      </c>
      <c r="Q460">
        <v>100</v>
      </c>
      <c r="R460" t="s">
        <v>36</v>
      </c>
      <c r="S460">
        <v>12</v>
      </c>
      <c r="T460">
        <v>12</v>
      </c>
      <c r="U460" t="s">
        <v>247</v>
      </c>
      <c r="V460" t="s">
        <v>37</v>
      </c>
      <c r="W460">
        <v>2000</v>
      </c>
      <c r="X460">
        <v>60</v>
      </c>
      <c r="Y460" t="s">
        <v>38</v>
      </c>
      <c r="Z460">
        <v>20</v>
      </c>
      <c r="AA460" t="s">
        <v>39</v>
      </c>
      <c r="AB460">
        <v>20</v>
      </c>
      <c r="AC460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FCEDA-5A4D-45C2-89E5-1FEC4888A8D0}">
  <dimension ref="A1:AC460"/>
  <sheetViews>
    <sheetView topLeftCell="B1" workbookViewId="0">
      <selection activeCell="H5" sqref="H5"/>
    </sheetView>
  </sheetViews>
  <sheetFormatPr defaultRowHeight="15" x14ac:dyDescent="0.25"/>
  <cols>
    <col min="1" max="1" width="48.28515625" bestFit="1" customWidth="1"/>
    <col min="2" max="2" width="25.28515625" customWidth="1"/>
    <col min="9" max="9" width="23.140625" customWidth="1"/>
  </cols>
  <sheetData>
    <row r="1" spans="1:29" x14ac:dyDescent="0.25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250</v>
      </c>
      <c r="Y1" t="s">
        <v>251</v>
      </c>
      <c r="Z1" t="s">
        <v>252</v>
      </c>
      <c r="AA1" t="s">
        <v>253</v>
      </c>
      <c r="AB1" t="s">
        <v>254</v>
      </c>
      <c r="AC1" t="s">
        <v>28</v>
      </c>
    </row>
    <row r="2" spans="1:29" x14ac:dyDescent="0.25">
      <c r="A2" t="str">
        <f>"Raman_"&amp;E2&amp;"_"&amp;B2&amp;"_"&amp;AC2&amp;"_"&amp;TEXT(F2, "000")&amp;"_"&amp;TEXT(G2, "000")&amp;"_"&amp;H2&amp;".csv"</f>
        <v>Raman_EG_Pavlovagyrans_raw_002_001_A1.csv</v>
      </c>
      <c r="B2" t="s">
        <v>255</v>
      </c>
      <c r="C2" t="s">
        <v>30</v>
      </c>
      <c r="D2" t="s">
        <v>30</v>
      </c>
      <c r="E2" t="s">
        <v>31</v>
      </c>
      <c r="F2">
        <v>2</v>
      </c>
      <c r="G2">
        <v>1</v>
      </c>
      <c r="H2" t="s">
        <v>110</v>
      </c>
      <c r="I2" t="s">
        <v>256</v>
      </c>
      <c r="J2" t="s">
        <v>34</v>
      </c>
      <c r="L2" t="s">
        <v>30</v>
      </c>
      <c r="M2">
        <v>22</v>
      </c>
      <c r="N2" t="s">
        <v>35</v>
      </c>
      <c r="O2" t="s">
        <v>111</v>
      </c>
      <c r="P2">
        <v>0</v>
      </c>
      <c r="Q2">
        <v>100</v>
      </c>
      <c r="R2" t="s">
        <v>36</v>
      </c>
      <c r="S2">
        <v>12</v>
      </c>
      <c r="T2">
        <v>12</v>
      </c>
      <c r="U2" t="s">
        <v>112</v>
      </c>
      <c r="V2" t="s">
        <v>37</v>
      </c>
      <c r="W2">
        <v>450</v>
      </c>
      <c r="X2">
        <v>532</v>
      </c>
      <c r="Y2">
        <v>8.3000000000000007</v>
      </c>
      <c r="Z2">
        <v>500</v>
      </c>
      <c r="AA2">
        <v>2000</v>
      </c>
      <c r="AB2">
        <v>50</v>
      </c>
      <c r="AC2" t="s">
        <v>40</v>
      </c>
    </row>
    <row r="3" spans="1:29" x14ac:dyDescent="0.25">
      <c r="A3" t="str">
        <f>"Raman_"&amp;E3&amp;"_"&amp;B3&amp;"_"&amp;AC3&amp;"_"&amp;TEXT(F3, "000")&amp;"_"&amp;TEXT(G3, "000")&amp;"_"&amp;H3&amp;".csv"</f>
        <v>Raman_EG_Pavlovagyrans_raw_002_001_A2.csv</v>
      </c>
      <c r="B3" t="s">
        <v>255</v>
      </c>
      <c r="C3" t="s">
        <v>30</v>
      </c>
      <c r="D3" t="s">
        <v>30</v>
      </c>
      <c r="E3" t="s">
        <v>31</v>
      </c>
      <c r="F3">
        <v>2</v>
      </c>
      <c r="G3">
        <v>1</v>
      </c>
      <c r="H3" t="s">
        <v>114</v>
      </c>
      <c r="I3" t="s">
        <v>256</v>
      </c>
      <c r="J3" t="s">
        <v>34</v>
      </c>
      <c r="L3" t="s">
        <v>30</v>
      </c>
      <c r="M3">
        <v>22</v>
      </c>
      <c r="N3" t="s">
        <v>80</v>
      </c>
      <c r="O3" t="s">
        <v>111</v>
      </c>
      <c r="P3">
        <v>0</v>
      </c>
      <c r="Q3">
        <v>100</v>
      </c>
      <c r="R3" t="s">
        <v>36</v>
      </c>
      <c r="S3">
        <v>12</v>
      </c>
      <c r="T3">
        <v>12</v>
      </c>
      <c r="U3" t="s">
        <v>112</v>
      </c>
      <c r="V3" t="s">
        <v>37</v>
      </c>
      <c r="W3">
        <v>450</v>
      </c>
      <c r="X3">
        <v>532</v>
      </c>
      <c r="Y3">
        <v>8.3000000000000007</v>
      </c>
      <c r="Z3">
        <v>500</v>
      </c>
      <c r="AA3">
        <v>2000</v>
      </c>
      <c r="AB3">
        <v>50</v>
      </c>
      <c r="AC3" t="s">
        <v>40</v>
      </c>
    </row>
    <row r="4" spans="1:29" x14ac:dyDescent="0.25">
      <c r="A4" t="str">
        <f>"Raman_"&amp;E4&amp;"_"&amp;B4&amp;"_"&amp;AC4&amp;"_"&amp;TEXT(F4, "000")&amp;"_"&amp;TEXT(G4, "000")&amp;"_"&amp;H4&amp;".csv"</f>
        <v>Raman_EG_Pavlovagyrans_raw_002_001_A3.csv</v>
      </c>
      <c r="B4" t="s">
        <v>255</v>
      </c>
      <c r="C4" t="s">
        <v>30</v>
      </c>
      <c r="D4" t="s">
        <v>30</v>
      </c>
      <c r="E4" t="s">
        <v>31</v>
      </c>
      <c r="F4">
        <v>2</v>
      </c>
      <c r="G4">
        <v>1</v>
      </c>
      <c r="H4" t="s">
        <v>116</v>
      </c>
      <c r="I4" t="s">
        <v>256</v>
      </c>
      <c r="J4" t="s">
        <v>34</v>
      </c>
      <c r="L4" t="s">
        <v>30</v>
      </c>
      <c r="M4">
        <v>22</v>
      </c>
      <c r="N4" t="s">
        <v>42</v>
      </c>
      <c r="O4" t="s">
        <v>111</v>
      </c>
      <c r="P4">
        <v>0</v>
      </c>
      <c r="Q4">
        <v>100</v>
      </c>
      <c r="R4" t="s">
        <v>36</v>
      </c>
      <c r="S4">
        <v>12</v>
      </c>
      <c r="T4">
        <v>12</v>
      </c>
      <c r="U4" t="s">
        <v>112</v>
      </c>
      <c r="V4" t="s">
        <v>37</v>
      </c>
      <c r="W4">
        <v>450</v>
      </c>
      <c r="X4">
        <v>532</v>
      </c>
      <c r="Y4">
        <v>8.3000000000000007</v>
      </c>
      <c r="Z4">
        <v>500</v>
      </c>
      <c r="AA4">
        <v>2000</v>
      </c>
      <c r="AB4">
        <v>50</v>
      </c>
      <c r="AC4" t="s">
        <v>40</v>
      </c>
    </row>
    <row r="5" spans="1:29" x14ac:dyDescent="0.25">
      <c r="A5" t="str">
        <f>"Raman_"&amp;E5&amp;"_"&amp;B5&amp;"_"&amp;AC5&amp;"_"&amp;TEXT(F5, "000")&amp;"_"&amp;TEXT(G5, "000")&amp;"_"&amp;H5&amp;".csv"</f>
        <v>Raman_EG_Pavlovagyrans_raw_002_001_A4.csv</v>
      </c>
      <c r="B5" t="s">
        <v>255</v>
      </c>
      <c r="C5" t="s">
        <v>30</v>
      </c>
      <c r="D5" t="s">
        <v>30</v>
      </c>
      <c r="E5" t="s">
        <v>31</v>
      </c>
      <c r="F5">
        <v>2</v>
      </c>
      <c r="G5">
        <v>1</v>
      </c>
      <c r="H5" t="s">
        <v>118</v>
      </c>
      <c r="I5" t="s">
        <v>256</v>
      </c>
      <c r="J5" t="s">
        <v>34</v>
      </c>
      <c r="L5" t="s">
        <v>30</v>
      </c>
      <c r="M5">
        <v>22</v>
      </c>
      <c r="N5" t="s">
        <v>82</v>
      </c>
      <c r="O5" t="s">
        <v>111</v>
      </c>
      <c r="P5">
        <v>0</v>
      </c>
      <c r="Q5">
        <v>100</v>
      </c>
      <c r="R5" t="s">
        <v>36</v>
      </c>
      <c r="S5">
        <v>12</v>
      </c>
      <c r="T5">
        <v>12</v>
      </c>
      <c r="U5" t="s">
        <v>112</v>
      </c>
      <c r="V5" t="s">
        <v>37</v>
      </c>
      <c r="W5">
        <v>450</v>
      </c>
      <c r="X5">
        <v>532</v>
      </c>
      <c r="Y5">
        <v>8.3000000000000007</v>
      </c>
      <c r="Z5">
        <v>500</v>
      </c>
      <c r="AA5">
        <v>2000</v>
      </c>
      <c r="AB5">
        <v>50</v>
      </c>
      <c r="AC5" t="s">
        <v>40</v>
      </c>
    </row>
    <row r="6" spans="1:29" x14ac:dyDescent="0.25">
      <c r="A6" t="str">
        <f>"Raman_"&amp;E6&amp;"_"&amp;B6&amp;"_"&amp;AC6&amp;"_"&amp;TEXT(F6, "000")&amp;"_"&amp;TEXT(G6, "000")&amp;"_"&amp;H6&amp;".csv"</f>
        <v>Raman_EG_Pavlovagyrans_raw_002_001_A5.csv</v>
      </c>
      <c r="B6" t="s">
        <v>255</v>
      </c>
      <c r="C6" t="s">
        <v>30</v>
      </c>
      <c r="D6" t="s">
        <v>30</v>
      </c>
      <c r="E6" t="s">
        <v>31</v>
      </c>
      <c r="F6">
        <v>2</v>
      </c>
      <c r="G6">
        <v>1</v>
      </c>
      <c r="H6" t="s">
        <v>120</v>
      </c>
      <c r="I6" t="s">
        <v>256</v>
      </c>
      <c r="J6" t="s">
        <v>34</v>
      </c>
      <c r="L6" t="s">
        <v>30</v>
      </c>
      <c r="M6">
        <v>22</v>
      </c>
      <c r="N6" t="s">
        <v>44</v>
      </c>
      <c r="O6" t="s">
        <v>111</v>
      </c>
      <c r="P6">
        <v>0</v>
      </c>
      <c r="Q6">
        <v>100</v>
      </c>
      <c r="R6" t="s">
        <v>36</v>
      </c>
      <c r="S6">
        <v>12</v>
      </c>
      <c r="T6">
        <v>12</v>
      </c>
      <c r="U6" t="s">
        <v>112</v>
      </c>
      <c r="V6" t="s">
        <v>37</v>
      </c>
      <c r="W6">
        <v>450</v>
      </c>
      <c r="X6">
        <v>532</v>
      </c>
      <c r="Y6">
        <v>8.3000000000000007</v>
      </c>
      <c r="Z6">
        <v>500</v>
      </c>
      <c r="AA6">
        <v>2000</v>
      </c>
      <c r="AB6">
        <v>50</v>
      </c>
      <c r="AC6" t="s">
        <v>40</v>
      </c>
    </row>
    <row r="7" spans="1:29" x14ac:dyDescent="0.25">
      <c r="A7" t="str">
        <f>"Raman_"&amp;E7&amp;"_"&amp;B7&amp;"_"&amp;AC7&amp;"_"&amp;TEXT(F7, "000")&amp;"_"&amp;TEXT(G7, "000")&amp;"_"&amp;H7&amp;".csv"</f>
        <v>Raman_EG_Pavlovagyrans_raw_002_001_A6.csv</v>
      </c>
      <c r="B7" t="s">
        <v>255</v>
      </c>
      <c r="C7" t="s">
        <v>30</v>
      </c>
      <c r="D7" t="s">
        <v>30</v>
      </c>
      <c r="E7" t="s">
        <v>31</v>
      </c>
      <c r="F7">
        <v>2</v>
      </c>
      <c r="G7">
        <v>1</v>
      </c>
      <c r="H7" t="s">
        <v>122</v>
      </c>
      <c r="I7" t="s">
        <v>256</v>
      </c>
      <c r="J7" t="s">
        <v>34</v>
      </c>
      <c r="L7" t="s">
        <v>30</v>
      </c>
      <c r="M7">
        <v>22</v>
      </c>
      <c r="N7" t="s">
        <v>84</v>
      </c>
      <c r="O7" t="s">
        <v>111</v>
      </c>
      <c r="P7">
        <v>0</v>
      </c>
      <c r="Q7">
        <v>100</v>
      </c>
      <c r="R7" t="s">
        <v>36</v>
      </c>
      <c r="S7">
        <v>12</v>
      </c>
      <c r="T7">
        <v>12</v>
      </c>
      <c r="U7" t="s">
        <v>112</v>
      </c>
      <c r="V7" t="s">
        <v>37</v>
      </c>
      <c r="W7">
        <v>450</v>
      </c>
      <c r="X7">
        <v>532</v>
      </c>
      <c r="Y7">
        <v>8.3000000000000007</v>
      </c>
      <c r="Z7">
        <v>500</v>
      </c>
      <c r="AA7">
        <v>2000</v>
      </c>
      <c r="AB7">
        <v>50</v>
      </c>
      <c r="AC7" t="s">
        <v>40</v>
      </c>
    </row>
    <row r="8" spans="1:29" x14ac:dyDescent="0.25">
      <c r="A8" t="str">
        <f>"Raman_"&amp;E8&amp;"_"&amp;B8&amp;"_"&amp;AC8&amp;"_"&amp;TEXT(F8, "000")&amp;"_"&amp;TEXT(G8, "000")&amp;"_"&amp;H8&amp;".csv"</f>
        <v>Raman_EG_Pavlovagyrans_raw_002_001_A7.csv</v>
      </c>
      <c r="B8" t="s">
        <v>255</v>
      </c>
      <c r="C8" t="s">
        <v>30</v>
      </c>
      <c r="D8" t="s">
        <v>30</v>
      </c>
      <c r="E8" t="s">
        <v>31</v>
      </c>
      <c r="F8">
        <v>2</v>
      </c>
      <c r="G8">
        <v>1</v>
      </c>
      <c r="H8" t="s">
        <v>124</v>
      </c>
      <c r="I8" t="s">
        <v>256</v>
      </c>
      <c r="J8" t="s">
        <v>34</v>
      </c>
      <c r="L8" t="s">
        <v>30</v>
      </c>
      <c r="M8">
        <v>22</v>
      </c>
      <c r="N8" t="s">
        <v>46</v>
      </c>
      <c r="O8" t="s">
        <v>111</v>
      </c>
      <c r="P8">
        <v>0</v>
      </c>
      <c r="Q8">
        <v>100</v>
      </c>
      <c r="R8" t="s">
        <v>36</v>
      </c>
      <c r="S8">
        <v>12</v>
      </c>
      <c r="T8">
        <v>12</v>
      </c>
      <c r="U8" t="s">
        <v>112</v>
      </c>
      <c r="V8" t="s">
        <v>37</v>
      </c>
      <c r="W8">
        <v>450</v>
      </c>
      <c r="X8">
        <v>532</v>
      </c>
      <c r="Y8">
        <v>8.3000000000000007</v>
      </c>
      <c r="Z8">
        <v>500</v>
      </c>
      <c r="AA8">
        <v>2000</v>
      </c>
      <c r="AB8">
        <v>50</v>
      </c>
      <c r="AC8" t="s">
        <v>40</v>
      </c>
    </row>
    <row r="9" spans="1:29" x14ac:dyDescent="0.25">
      <c r="A9" t="str">
        <f>"Raman_"&amp;E9&amp;"_"&amp;B9&amp;"_"&amp;AC9&amp;"_"&amp;TEXT(F9, "000")&amp;"_"&amp;TEXT(G9, "000")&amp;"_"&amp;H9&amp;".csv"</f>
        <v>Raman_EG_Pavlovagyrans_raw_002_001_A8.csv</v>
      </c>
      <c r="B9" t="s">
        <v>255</v>
      </c>
      <c r="C9" t="s">
        <v>30</v>
      </c>
      <c r="D9" t="s">
        <v>30</v>
      </c>
      <c r="E9" t="s">
        <v>31</v>
      </c>
      <c r="F9">
        <v>2</v>
      </c>
      <c r="G9">
        <v>1</v>
      </c>
      <c r="H9" t="s">
        <v>126</v>
      </c>
      <c r="I9" t="s">
        <v>256</v>
      </c>
      <c r="J9" t="s">
        <v>34</v>
      </c>
      <c r="L9" t="s">
        <v>30</v>
      </c>
      <c r="M9">
        <v>22</v>
      </c>
      <c r="N9" t="s">
        <v>86</v>
      </c>
      <c r="O9" t="s">
        <v>111</v>
      </c>
      <c r="P9">
        <v>0</v>
      </c>
      <c r="Q9">
        <v>100</v>
      </c>
      <c r="R9" t="s">
        <v>36</v>
      </c>
      <c r="S9">
        <v>12</v>
      </c>
      <c r="T9">
        <v>12</v>
      </c>
      <c r="U9" t="s">
        <v>112</v>
      </c>
      <c r="V9" t="s">
        <v>37</v>
      </c>
      <c r="W9">
        <v>450</v>
      </c>
      <c r="X9">
        <v>532</v>
      </c>
      <c r="Y9">
        <v>8.3000000000000007</v>
      </c>
      <c r="Z9">
        <v>500</v>
      </c>
      <c r="AA9">
        <v>2000</v>
      </c>
      <c r="AB9">
        <v>50</v>
      </c>
      <c r="AC9" t="s">
        <v>40</v>
      </c>
    </row>
    <row r="10" spans="1:29" x14ac:dyDescent="0.25">
      <c r="A10" t="str">
        <f>"Raman_"&amp;E10&amp;"_"&amp;B10&amp;"_"&amp;AC10&amp;"_"&amp;TEXT(F10, "000")&amp;"_"&amp;TEXT(G10, "000")&amp;"_"&amp;H10&amp;".csv"</f>
        <v>Raman_EG_Pavlovagyrans_raw_002_001_B1.csv</v>
      </c>
      <c r="B10" t="s">
        <v>255</v>
      </c>
      <c r="C10" t="s">
        <v>30</v>
      </c>
      <c r="D10" t="s">
        <v>30</v>
      </c>
      <c r="E10" t="s">
        <v>31</v>
      </c>
      <c r="F10">
        <v>2</v>
      </c>
      <c r="G10">
        <v>1</v>
      </c>
      <c r="H10" t="s">
        <v>128</v>
      </c>
      <c r="I10" t="s">
        <v>256</v>
      </c>
      <c r="J10" t="s">
        <v>34</v>
      </c>
      <c r="L10" t="s">
        <v>30</v>
      </c>
      <c r="M10">
        <v>22</v>
      </c>
      <c r="N10" t="s">
        <v>35</v>
      </c>
      <c r="O10" t="s">
        <v>111</v>
      </c>
      <c r="P10">
        <v>0</v>
      </c>
      <c r="Q10">
        <v>100</v>
      </c>
      <c r="R10" t="s">
        <v>36</v>
      </c>
      <c r="S10">
        <v>12</v>
      </c>
      <c r="T10">
        <v>12</v>
      </c>
      <c r="U10" t="s">
        <v>112</v>
      </c>
      <c r="V10" t="s">
        <v>37</v>
      </c>
      <c r="W10">
        <v>450</v>
      </c>
      <c r="X10">
        <v>532</v>
      </c>
      <c r="Y10">
        <v>8.3000000000000007</v>
      </c>
      <c r="Z10">
        <v>500</v>
      </c>
      <c r="AA10">
        <v>2000</v>
      </c>
      <c r="AB10">
        <v>50</v>
      </c>
      <c r="AC10" t="s">
        <v>40</v>
      </c>
    </row>
    <row r="11" spans="1:29" x14ac:dyDescent="0.25">
      <c r="A11" t="str">
        <f>"Raman_"&amp;E11&amp;"_"&amp;B11&amp;"_"&amp;AC11&amp;"_"&amp;TEXT(F11, "000")&amp;"_"&amp;TEXT(G11, "000")&amp;"_"&amp;H11&amp;".csv"</f>
        <v>Raman_EG_Pavlovagyrans_raw_002_001_B2.csv</v>
      </c>
      <c r="B11" t="s">
        <v>255</v>
      </c>
      <c r="C11" t="s">
        <v>30</v>
      </c>
      <c r="D11" t="s">
        <v>30</v>
      </c>
      <c r="E11" t="s">
        <v>31</v>
      </c>
      <c r="F11">
        <v>2</v>
      </c>
      <c r="G11">
        <v>1</v>
      </c>
      <c r="H11" t="s">
        <v>32</v>
      </c>
      <c r="I11" t="s">
        <v>256</v>
      </c>
      <c r="J11" t="s">
        <v>34</v>
      </c>
      <c r="L11" t="s">
        <v>30</v>
      </c>
      <c r="M11">
        <v>22</v>
      </c>
      <c r="N11" t="s">
        <v>80</v>
      </c>
      <c r="O11" t="s">
        <v>111</v>
      </c>
      <c r="P11">
        <v>0</v>
      </c>
      <c r="Q11">
        <v>100</v>
      </c>
      <c r="R11" t="s">
        <v>36</v>
      </c>
      <c r="S11">
        <v>12</v>
      </c>
      <c r="T11">
        <v>12</v>
      </c>
      <c r="U11" t="s">
        <v>112</v>
      </c>
      <c r="V11" t="s">
        <v>37</v>
      </c>
      <c r="W11">
        <v>450</v>
      </c>
      <c r="X11">
        <v>532</v>
      </c>
      <c r="Y11">
        <v>8.3000000000000007</v>
      </c>
      <c r="Z11">
        <v>500</v>
      </c>
      <c r="AA11">
        <v>2000</v>
      </c>
      <c r="AB11">
        <v>50</v>
      </c>
      <c r="AC11" t="s">
        <v>40</v>
      </c>
    </row>
    <row r="12" spans="1:29" x14ac:dyDescent="0.25">
      <c r="A12" t="str">
        <f>"Raman_"&amp;E12&amp;"_"&amp;B12&amp;"_"&amp;AC12&amp;"_"&amp;TEXT(F12, "000")&amp;"_"&amp;TEXT(G12, "000")&amp;"_"&amp;H12&amp;".csv"</f>
        <v>Raman_EG_Pavlovagyrans_raw_002_001_B3.csv</v>
      </c>
      <c r="B12" t="s">
        <v>255</v>
      </c>
      <c r="C12" t="s">
        <v>30</v>
      </c>
      <c r="D12" t="s">
        <v>30</v>
      </c>
      <c r="E12" t="s">
        <v>31</v>
      </c>
      <c r="F12">
        <v>2</v>
      </c>
      <c r="G12">
        <v>1</v>
      </c>
      <c r="H12" t="s">
        <v>41</v>
      </c>
      <c r="I12" t="s">
        <v>256</v>
      </c>
      <c r="J12" t="s">
        <v>34</v>
      </c>
      <c r="L12" t="s">
        <v>30</v>
      </c>
      <c r="M12">
        <v>22</v>
      </c>
      <c r="N12" t="s">
        <v>42</v>
      </c>
      <c r="O12" t="s">
        <v>111</v>
      </c>
      <c r="P12">
        <v>0</v>
      </c>
      <c r="Q12">
        <v>100</v>
      </c>
      <c r="R12" t="s">
        <v>36</v>
      </c>
      <c r="S12">
        <v>12</v>
      </c>
      <c r="T12">
        <v>12</v>
      </c>
      <c r="U12" t="s">
        <v>112</v>
      </c>
      <c r="V12" t="s">
        <v>37</v>
      </c>
      <c r="W12">
        <v>450</v>
      </c>
      <c r="X12">
        <v>532</v>
      </c>
      <c r="Y12">
        <v>8.3000000000000007</v>
      </c>
      <c r="Z12">
        <v>500</v>
      </c>
      <c r="AA12">
        <v>2000</v>
      </c>
      <c r="AB12">
        <v>50</v>
      </c>
      <c r="AC12" t="s">
        <v>40</v>
      </c>
    </row>
    <row r="13" spans="1:29" x14ac:dyDescent="0.25">
      <c r="A13" t="str">
        <f>"Raman_"&amp;E13&amp;"_"&amp;B13&amp;"_"&amp;AC13&amp;"_"&amp;TEXT(F13, "000")&amp;"_"&amp;TEXT(G13, "000")&amp;"_"&amp;H13&amp;".csv"</f>
        <v>Raman_EG_Pavlovagyrans_raw_002_001_B4.csv</v>
      </c>
      <c r="B13" t="s">
        <v>255</v>
      </c>
      <c r="C13" t="s">
        <v>30</v>
      </c>
      <c r="D13" t="s">
        <v>30</v>
      </c>
      <c r="E13" t="s">
        <v>31</v>
      </c>
      <c r="F13">
        <v>2</v>
      </c>
      <c r="G13">
        <v>1</v>
      </c>
      <c r="H13" t="s">
        <v>43</v>
      </c>
      <c r="I13" t="s">
        <v>256</v>
      </c>
      <c r="J13" t="s">
        <v>34</v>
      </c>
      <c r="L13" t="s">
        <v>30</v>
      </c>
      <c r="M13">
        <v>22</v>
      </c>
      <c r="N13" t="s">
        <v>82</v>
      </c>
      <c r="O13" t="s">
        <v>111</v>
      </c>
      <c r="P13">
        <v>0</v>
      </c>
      <c r="Q13">
        <v>100</v>
      </c>
      <c r="R13" t="s">
        <v>36</v>
      </c>
      <c r="S13">
        <v>12</v>
      </c>
      <c r="T13">
        <v>12</v>
      </c>
      <c r="U13" t="s">
        <v>112</v>
      </c>
      <c r="V13" t="s">
        <v>37</v>
      </c>
      <c r="W13">
        <v>450</v>
      </c>
      <c r="X13">
        <v>532</v>
      </c>
      <c r="Y13">
        <v>8.3000000000000007</v>
      </c>
      <c r="Z13">
        <v>500</v>
      </c>
      <c r="AA13">
        <v>2000</v>
      </c>
      <c r="AB13">
        <v>50</v>
      </c>
      <c r="AC13" t="s">
        <v>40</v>
      </c>
    </row>
    <row r="14" spans="1:29" x14ac:dyDescent="0.25">
      <c r="A14" t="str">
        <f>"Raman_"&amp;E14&amp;"_"&amp;B14&amp;"_"&amp;AC14&amp;"_"&amp;TEXT(F14, "000")&amp;"_"&amp;TEXT(G14, "000")&amp;"_"&amp;H14&amp;".csv"</f>
        <v>Raman_EG_Pavlovagyrans_raw_002_001_B5.csv</v>
      </c>
      <c r="B14" t="s">
        <v>255</v>
      </c>
      <c r="C14" t="s">
        <v>30</v>
      </c>
      <c r="D14" t="s">
        <v>30</v>
      </c>
      <c r="E14" t="s">
        <v>31</v>
      </c>
      <c r="F14">
        <v>2</v>
      </c>
      <c r="G14">
        <v>1</v>
      </c>
      <c r="H14" t="s">
        <v>45</v>
      </c>
      <c r="I14" t="s">
        <v>256</v>
      </c>
      <c r="J14" t="s">
        <v>34</v>
      </c>
      <c r="L14" t="s">
        <v>30</v>
      </c>
      <c r="M14">
        <v>22</v>
      </c>
      <c r="N14" t="s">
        <v>44</v>
      </c>
      <c r="O14" t="s">
        <v>111</v>
      </c>
      <c r="P14">
        <v>0</v>
      </c>
      <c r="Q14">
        <v>100</v>
      </c>
      <c r="R14" t="s">
        <v>36</v>
      </c>
      <c r="S14">
        <v>12</v>
      </c>
      <c r="T14">
        <v>12</v>
      </c>
      <c r="U14" t="s">
        <v>112</v>
      </c>
      <c r="V14" t="s">
        <v>37</v>
      </c>
      <c r="W14">
        <v>450</v>
      </c>
      <c r="X14">
        <v>532</v>
      </c>
      <c r="Y14">
        <v>8.3000000000000007</v>
      </c>
      <c r="Z14">
        <v>500</v>
      </c>
      <c r="AA14">
        <v>2000</v>
      </c>
      <c r="AB14">
        <v>50</v>
      </c>
      <c r="AC14" t="s">
        <v>40</v>
      </c>
    </row>
    <row r="15" spans="1:29" x14ac:dyDescent="0.25">
      <c r="A15" t="str">
        <f>"Raman_"&amp;E15&amp;"_"&amp;B15&amp;"_"&amp;AC15&amp;"_"&amp;TEXT(F15, "000")&amp;"_"&amp;TEXT(G15, "000")&amp;"_"&amp;H15&amp;".csv"</f>
        <v>Raman_EG_Pavlovagyrans_raw_002_001_B6.csv</v>
      </c>
      <c r="B15" t="s">
        <v>255</v>
      </c>
      <c r="C15" t="s">
        <v>30</v>
      </c>
      <c r="D15" t="s">
        <v>30</v>
      </c>
      <c r="E15" t="s">
        <v>31</v>
      </c>
      <c r="F15">
        <v>2</v>
      </c>
      <c r="G15">
        <v>1</v>
      </c>
      <c r="H15" t="s">
        <v>47</v>
      </c>
      <c r="I15" t="s">
        <v>256</v>
      </c>
      <c r="J15" t="s">
        <v>34</v>
      </c>
      <c r="L15" t="s">
        <v>30</v>
      </c>
      <c r="M15">
        <v>22</v>
      </c>
      <c r="N15" t="s">
        <v>84</v>
      </c>
      <c r="O15" t="s">
        <v>111</v>
      </c>
      <c r="P15">
        <v>0</v>
      </c>
      <c r="Q15">
        <v>100</v>
      </c>
      <c r="R15" t="s">
        <v>36</v>
      </c>
      <c r="S15">
        <v>12</v>
      </c>
      <c r="T15">
        <v>12</v>
      </c>
      <c r="U15" t="s">
        <v>112</v>
      </c>
      <c r="V15" t="s">
        <v>37</v>
      </c>
      <c r="W15">
        <v>450</v>
      </c>
      <c r="X15">
        <v>532</v>
      </c>
      <c r="Y15">
        <v>8.3000000000000007</v>
      </c>
      <c r="Z15">
        <v>500</v>
      </c>
      <c r="AA15">
        <v>2000</v>
      </c>
      <c r="AB15">
        <v>50</v>
      </c>
      <c r="AC15" t="s">
        <v>40</v>
      </c>
    </row>
    <row r="16" spans="1:29" x14ac:dyDescent="0.25">
      <c r="A16" t="str">
        <f>"Raman_"&amp;E16&amp;"_"&amp;B16&amp;"_"&amp;AC16&amp;"_"&amp;TEXT(F16, "000")&amp;"_"&amp;TEXT(G16, "000")&amp;"_"&amp;H16&amp;".csv"</f>
        <v>Raman_EG_Pavlovagyrans_raw_002_001_B7.csv</v>
      </c>
      <c r="B16" t="s">
        <v>255</v>
      </c>
      <c r="C16" t="s">
        <v>30</v>
      </c>
      <c r="D16" t="s">
        <v>30</v>
      </c>
      <c r="E16" t="s">
        <v>31</v>
      </c>
      <c r="F16">
        <v>2</v>
      </c>
      <c r="G16">
        <v>1</v>
      </c>
      <c r="H16" t="s">
        <v>49</v>
      </c>
      <c r="I16" t="s">
        <v>256</v>
      </c>
      <c r="J16" t="s">
        <v>34</v>
      </c>
      <c r="L16" t="s">
        <v>30</v>
      </c>
      <c r="M16">
        <v>22</v>
      </c>
      <c r="N16" t="s">
        <v>46</v>
      </c>
      <c r="O16" t="s">
        <v>111</v>
      </c>
      <c r="P16">
        <v>0</v>
      </c>
      <c r="Q16">
        <v>100</v>
      </c>
      <c r="R16" t="s">
        <v>36</v>
      </c>
      <c r="S16">
        <v>12</v>
      </c>
      <c r="T16">
        <v>12</v>
      </c>
      <c r="U16" t="s">
        <v>112</v>
      </c>
      <c r="V16" t="s">
        <v>37</v>
      </c>
      <c r="W16">
        <v>450</v>
      </c>
      <c r="X16">
        <v>532</v>
      </c>
      <c r="Y16">
        <v>8.3000000000000007</v>
      </c>
      <c r="Z16">
        <v>500</v>
      </c>
      <c r="AA16">
        <v>2000</v>
      </c>
      <c r="AB16">
        <v>50</v>
      </c>
      <c r="AC16" t="s">
        <v>40</v>
      </c>
    </row>
    <row r="17" spans="1:29" x14ac:dyDescent="0.25">
      <c r="A17" t="str">
        <f>"Raman_"&amp;E17&amp;"_"&amp;B17&amp;"_"&amp;AC17&amp;"_"&amp;TEXT(F17, "000")&amp;"_"&amp;TEXT(G17, "000")&amp;"_"&amp;H17&amp;".csv"</f>
        <v>Raman_EG_Pavlovagyrans_raw_002_001_B8.csv</v>
      </c>
      <c r="B17" t="s">
        <v>255</v>
      </c>
      <c r="C17" t="s">
        <v>30</v>
      </c>
      <c r="D17" t="s">
        <v>30</v>
      </c>
      <c r="E17" t="s">
        <v>31</v>
      </c>
      <c r="F17">
        <v>2</v>
      </c>
      <c r="G17">
        <v>1</v>
      </c>
      <c r="H17" t="s">
        <v>51</v>
      </c>
      <c r="I17" t="s">
        <v>256</v>
      </c>
      <c r="J17" t="s">
        <v>34</v>
      </c>
      <c r="L17" t="s">
        <v>30</v>
      </c>
      <c r="M17">
        <v>22</v>
      </c>
      <c r="N17" t="s">
        <v>86</v>
      </c>
      <c r="O17" t="s">
        <v>111</v>
      </c>
      <c r="P17">
        <v>0</v>
      </c>
      <c r="Q17">
        <v>100</v>
      </c>
      <c r="R17" t="s">
        <v>36</v>
      </c>
      <c r="S17">
        <v>12</v>
      </c>
      <c r="T17">
        <v>12</v>
      </c>
      <c r="U17" t="s">
        <v>112</v>
      </c>
      <c r="V17" t="s">
        <v>37</v>
      </c>
      <c r="W17">
        <v>450</v>
      </c>
      <c r="X17">
        <v>532</v>
      </c>
      <c r="Y17">
        <v>8.3000000000000007</v>
      </c>
      <c r="Z17">
        <v>500</v>
      </c>
      <c r="AA17">
        <v>2000</v>
      </c>
      <c r="AB17">
        <v>50</v>
      </c>
      <c r="AC17" t="s">
        <v>40</v>
      </c>
    </row>
    <row r="18" spans="1:29" x14ac:dyDescent="0.25">
      <c r="A18" t="str">
        <f>"Raman_"&amp;E18&amp;"_"&amp;B18&amp;"_"&amp;AC18&amp;"_"&amp;TEXT(F18, "000")&amp;"_"&amp;TEXT(G18, "000")&amp;"_"&amp;H18&amp;".csv"</f>
        <v>Raman_EG_Pavlovagyrans_raw_002_001_C1.csv</v>
      </c>
      <c r="B18" t="s">
        <v>255</v>
      </c>
      <c r="C18" t="s">
        <v>30</v>
      </c>
      <c r="D18" t="s">
        <v>30</v>
      </c>
      <c r="E18" t="s">
        <v>31</v>
      </c>
      <c r="F18">
        <v>2</v>
      </c>
      <c r="G18">
        <v>1</v>
      </c>
      <c r="H18" t="s">
        <v>137</v>
      </c>
      <c r="I18" t="s">
        <v>256</v>
      </c>
      <c r="J18" t="s">
        <v>34</v>
      </c>
      <c r="L18" t="s">
        <v>30</v>
      </c>
      <c r="M18">
        <v>22</v>
      </c>
      <c r="N18" t="s">
        <v>35</v>
      </c>
      <c r="O18" t="s">
        <v>111</v>
      </c>
      <c r="P18">
        <v>0</v>
      </c>
      <c r="Q18">
        <v>100</v>
      </c>
      <c r="R18" t="s">
        <v>36</v>
      </c>
      <c r="S18">
        <v>12</v>
      </c>
      <c r="T18">
        <v>12</v>
      </c>
      <c r="U18" t="s">
        <v>112</v>
      </c>
      <c r="V18" t="s">
        <v>37</v>
      </c>
      <c r="W18">
        <v>450</v>
      </c>
      <c r="X18">
        <v>532</v>
      </c>
      <c r="Y18">
        <v>8.3000000000000007</v>
      </c>
      <c r="Z18">
        <v>500</v>
      </c>
      <c r="AA18">
        <v>2000</v>
      </c>
      <c r="AB18">
        <v>50</v>
      </c>
      <c r="AC18" t="s">
        <v>40</v>
      </c>
    </row>
    <row r="19" spans="1:29" x14ac:dyDescent="0.25">
      <c r="A19" t="str">
        <f>"Raman_"&amp;E19&amp;"_"&amp;B19&amp;"_"&amp;AC19&amp;"_"&amp;TEXT(F19, "000")&amp;"_"&amp;TEXT(G19, "000")&amp;"_"&amp;H19&amp;".csv"</f>
        <v>Raman_EG_Pavlovagyrans_raw_002_001_C2.csv</v>
      </c>
      <c r="B19" t="s">
        <v>255</v>
      </c>
      <c r="C19" t="s">
        <v>30</v>
      </c>
      <c r="D19" t="s">
        <v>30</v>
      </c>
      <c r="E19" t="s">
        <v>31</v>
      </c>
      <c r="F19">
        <v>2</v>
      </c>
      <c r="G19">
        <v>1</v>
      </c>
      <c r="H19" t="s">
        <v>59</v>
      </c>
      <c r="I19" t="s">
        <v>256</v>
      </c>
      <c r="J19" t="s">
        <v>34</v>
      </c>
      <c r="L19" t="s">
        <v>30</v>
      </c>
      <c r="M19">
        <v>22</v>
      </c>
      <c r="N19" t="s">
        <v>80</v>
      </c>
      <c r="O19" t="s">
        <v>111</v>
      </c>
      <c r="P19">
        <v>0</v>
      </c>
      <c r="Q19">
        <v>100</v>
      </c>
      <c r="R19" t="s">
        <v>36</v>
      </c>
      <c r="S19">
        <v>12</v>
      </c>
      <c r="T19">
        <v>12</v>
      </c>
      <c r="U19" t="s">
        <v>112</v>
      </c>
      <c r="V19" t="s">
        <v>37</v>
      </c>
      <c r="W19">
        <v>450</v>
      </c>
      <c r="X19">
        <v>532</v>
      </c>
      <c r="Y19">
        <v>8.3000000000000007</v>
      </c>
      <c r="Z19">
        <v>500</v>
      </c>
      <c r="AA19">
        <v>2000</v>
      </c>
      <c r="AB19">
        <v>50</v>
      </c>
      <c r="AC19" t="s">
        <v>40</v>
      </c>
    </row>
    <row r="20" spans="1:29" x14ac:dyDescent="0.25">
      <c r="A20" t="str">
        <f>"Raman_"&amp;E20&amp;"_"&amp;B20&amp;"_"&amp;AC20&amp;"_"&amp;TEXT(F20, "000")&amp;"_"&amp;TEXT(G20, "000")&amp;"_"&amp;H20&amp;".csv"</f>
        <v>Raman_EG_Pavlovagyrans_raw_002_001_C3.csv</v>
      </c>
      <c r="B20" t="s">
        <v>255</v>
      </c>
      <c r="C20" t="s">
        <v>30</v>
      </c>
      <c r="D20" t="s">
        <v>30</v>
      </c>
      <c r="E20" t="s">
        <v>31</v>
      </c>
      <c r="F20">
        <v>2</v>
      </c>
      <c r="G20">
        <v>1</v>
      </c>
      <c r="H20" t="s">
        <v>60</v>
      </c>
      <c r="I20" t="s">
        <v>256</v>
      </c>
      <c r="J20" t="s">
        <v>34</v>
      </c>
      <c r="L20" t="s">
        <v>30</v>
      </c>
      <c r="M20">
        <v>22</v>
      </c>
      <c r="N20" t="s">
        <v>42</v>
      </c>
      <c r="O20" t="s">
        <v>111</v>
      </c>
      <c r="P20">
        <v>0</v>
      </c>
      <c r="Q20">
        <v>100</v>
      </c>
      <c r="R20" t="s">
        <v>36</v>
      </c>
      <c r="S20">
        <v>12</v>
      </c>
      <c r="T20">
        <v>12</v>
      </c>
      <c r="U20" t="s">
        <v>112</v>
      </c>
      <c r="V20" t="s">
        <v>37</v>
      </c>
      <c r="W20">
        <v>450</v>
      </c>
      <c r="X20">
        <v>532</v>
      </c>
      <c r="Y20">
        <v>8.3000000000000007</v>
      </c>
      <c r="Z20">
        <v>500</v>
      </c>
      <c r="AA20">
        <v>2000</v>
      </c>
      <c r="AB20">
        <v>50</v>
      </c>
      <c r="AC20" t="s">
        <v>40</v>
      </c>
    </row>
    <row r="21" spans="1:29" x14ac:dyDescent="0.25">
      <c r="A21" t="str">
        <f>"Raman_"&amp;E21&amp;"_"&amp;B21&amp;"_"&amp;AC21&amp;"_"&amp;TEXT(F21, "000")&amp;"_"&amp;TEXT(G21, "000")&amp;"_"&amp;H21&amp;".csv"</f>
        <v>Raman_EG_Pavlovagyrans_raw_002_001_C4.csv</v>
      </c>
      <c r="B21" t="s">
        <v>255</v>
      </c>
      <c r="C21" t="s">
        <v>30</v>
      </c>
      <c r="D21" t="s">
        <v>30</v>
      </c>
      <c r="E21" t="s">
        <v>31</v>
      </c>
      <c r="F21">
        <v>2</v>
      </c>
      <c r="G21">
        <v>1</v>
      </c>
      <c r="H21" t="s">
        <v>61</v>
      </c>
      <c r="I21" t="s">
        <v>256</v>
      </c>
      <c r="J21" t="s">
        <v>34</v>
      </c>
      <c r="L21" t="s">
        <v>30</v>
      </c>
      <c r="M21">
        <v>22</v>
      </c>
      <c r="N21" t="s">
        <v>82</v>
      </c>
      <c r="O21" t="s">
        <v>111</v>
      </c>
      <c r="P21">
        <v>0</v>
      </c>
      <c r="Q21">
        <v>100</v>
      </c>
      <c r="R21" t="s">
        <v>36</v>
      </c>
      <c r="S21">
        <v>12</v>
      </c>
      <c r="T21">
        <v>12</v>
      </c>
      <c r="U21" t="s">
        <v>112</v>
      </c>
      <c r="V21" t="s">
        <v>37</v>
      </c>
      <c r="W21">
        <v>450</v>
      </c>
      <c r="X21">
        <v>532</v>
      </c>
      <c r="Y21">
        <v>8.3000000000000007</v>
      </c>
      <c r="Z21">
        <v>500</v>
      </c>
      <c r="AA21">
        <v>2000</v>
      </c>
      <c r="AB21">
        <v>50</v>
      </c>
      <c r="AC21" t="s">
        <v>40</v>
      </c>
    </row>
    <row r="22" spans="1:29" x14ac:dyDescent="0.25">
      <c r="A22" t="str">
        <f>"Raman_"&amp;E22&amp;"_"&amp;B22&amp;"_"&amp;AC22&amp;"_"&amp;TEXT(F22, "000")&amp;"_"&amp;TEXT(G22, "000")&amp;"_"&amp;H22&amp;".csv"</f>
        <v>Raman_EG_Pavlovagyrans_raw_002_001_C5.csv</v>
      </c>
      <c r="B22" t="s">
        <v>255</v>
      </c>
      <c r="C22" t="s">
        <v>30</v>
      </c>
      <c r="D22" t="s">
        <v>30</v>
      </c>
      <c r="E22" t="s">
        <v>31</v>
      </c>
      <c r="F22">
        <v>2</v>
      </c>
      <c r="G22">
        <v>1</v>
      </c>
      <c r="H22" t="s">
        <v>62</v>
      </c>
      <c r="I22" t="s">
        <v>256</v>
      </c>
      <c r="J22" t="s">
        <v>34</v>
      </c>
      <c r="L22" t="s">
        <v>30</v>
      </c>
      <c r="M22">
        <v>22</v>
      </c>
      <c r="N22" t="s">
        <v>44</v>
      </c>
      <c r="O22" t="s">
        <v>111</v>
      </c>
      <c r="P22">
        <v>0</v>
      </c>
      <c r="Q22">
        <v>100</v>
      </c>
      <c r="R22" t="s">
        <v>36</v>
      </c>
      <c r="S22">
        <v>12</v>
      </c>
      <c r="T22">
        <v>12</v>
      </c>
      <c r="U22" t="s">
        <v>112</v>
      </c>
      <c r="V22" t="s">
        <v>37</v>
      </c>
      <c r="W22">
        <v>450</v>
      </c>
      <c r="X22">
        <v>532</v>
      </c>
      <c r="Y22">
        <v>8.3000000000000007</v>
      </c>
      <c r="Z22">
        <v>500</v>
      </c>
      <c r="AA22">
        <v>2000</v>
      </c>
      <c r="AB22">
        <v>50</v>
      </c>
      <c r="AC22" t="s">
        <v>40</v>
      </c>
    </row>
    <row r="23" spans="1:29" x14ac:dyDescent="0.25">
      <c r="A23" t="str">
        <f>"Raman_"&amp;E23&amp;"_"&amp;B23&amp;"_"&amp;AC23&amp;"_"&amp;TEXT(F23, "000")&amp;"_"&amp;TEXT(G23, "000")&amp;"_"&amp;H23&amp;".csv"</f>
        <v>Raman_EG_Pavlovagyrans_raw_002_001_C6.csv</v>
      </c>
      <c r="B23" t="s">
        <v>255</v>
      </c>
      <c r="C23" t="s">
        <v>30</v>
      </c>
      <c r="D23" t="s">
        <v>30</v>
      </c>
      <c r="E23" t="s">
        <v>31</v>
      </c>
      <c r="F23">
        <v>2</v>
      </c>
      <c r="G23">
        <v>1</v>
      </c>
      <c r="H23" t="s">
        <v>63</v>
      </c>
      <c r="I23" t="s">
        <v>256</v>
      </c>
      <c r="J23" t="s">
        <v>34</v>
      </c>
      <c r="L23" t="s">
        <v>30</v>
      </c>
      <c r="M23">
        <v>22</v>
      </c>
      <c r="N23" t="s">
        <v>84</v>
      </c>
      <c r="O23" t="s">
        <v>111</v>
      </c>
      <c r="P23">
        <v>0</v>
      </c>
      <c r="Q23">
        <v>100</v>
      </c>
      <c r="R23" t="s">
        <v>36</v>
      </c>
      <c r="S23">
        <v>12</v>
      </c>
      <c r="T23">
        <v>12</v>
      </c>
      <c r="U23" t="s">
        <v>112</v>
      </c>
      <c r="V23" t="s">
        <v>37</v>
      </c>
      <c r="W23">
        <v>450</v>
      </c>
      <c r="X23">
        <v>532</v>
      </c>
      <c r="Y23">
        <v>8.3000000000000007</v>
      </c>
      <c r="Z23">
        <v>500</v>
      </c>
      <c r="AA23">
        <v>2000</v>
      </c>
      <c r="AB23">
        <v>50</v>
      </c>
      <c r="AC23" t="s">
        <v>40</v>
      </c>
    </row>
    <row r="24" spans="1:29" x14ac:dyDescent="0.25">
      <c r="A24" t="str">
        <f>"Raman_"&amp;E24&amp;"_"&amp;B24&amp;"_"&amp;AC24&amp;"_"&amp;TEXT(F24, "000")&amp;"_"&amp;TEXT(G24, "000")&amp;"_"&amp;H24&amp;".csv"</f>
        <v>Raman_EG_Pavlovagyrans_raw_002_001_C7.csv</v>
      </c>
      <c r="B24" t="s">
        <v>255</v>
      </c>
      <c r="C24" t="s">
        <v>30</v>
      </c>
      <c r="D24" t="s">
        <v>30</v>
      </c>
      <c r="E24" t="s">
        <v>31</v>
      </c>
      <c r="F24">
        <v>2</v>
      </c>
      <c r="G24">
        <v>1</v>
      </c>
      <c r="H24" t="s">
        <v>64</v>
      </c>
      <c r="I24" t="s">
        <v>256</v>
      </c>
      <c r="J24" t="s">
        <v>34</v>
      </c>
      <c r="L24" t="s">
        <v>30</v>
      </c>
      <c r="M24">
        <v>22</v>
      </c>
      <c r="N24" t="s">
        <v>46</v>
      </c>
      <c r="O24" t="s">
        <v>111</v>
      </c>
      <c r="P24">
        <v>0</v>
      </c>
      <c r="Q24">
        <v>100</v>
      </c>
      <c r="R24" t="s">
        <v>36</v>
      </c>
      <c r="S24">
        <v>12</v>
      </c>
      <c r="T24">
        <v>12</v>
      </c>
      <c r="U24" t="s">
        <v>112</v>
      </c>
      <c r="V24" t="s">
        <v>37</v>
      </c>
      <c r="W24">
        <v>450</v>
      </c>
      <c r="X24">
        <v>532</v>
      </c>
      <c r="Y24">
        <v>8.3000000000000007</v>
      </c>
      <c r="Z24">
        <v>500</v>
      </c>
      <c r="AA24">
        <v>2000</v>
      </c>
      <c r="AB24">
        <v>50</v>
      </c>
      <c r="AC24" t="s">
        <v>40</v>
      </c>
    </row>
    <row r="25" spans="1:29" x14ac:dyDescent="0.25">
      <c r="A25" t="str">
        <f>"Raman_"&amp;E25&amp;"_"&amp;B25&amp;"_"&amp;AC25&amp;"_"&amp;TEXT(F25, "000")&amp;"_"&amp;TEXT(G25, "000")&amp;"_"&amp;H25&amp;".csv"</f>
        <v>Raman_EG_Pavlovagyrans_raw_002_001_C8.csv</v>
      </c>
      <c r="B25" t="s">
        <v>255</v>
      </c>
      <c r="C25" t="s">
        <v>30</v>
      </c>
      <c r="D25" t="s">
        <v>30</v>
      </c>
      <c r="E25" t="s">
        <v>31</v>
      </c>
      <c r="F25">
        <v>2</v>
      </c>
      <c r="G25">
        <v>1</v>
      </c>
      <c r="H25" t="s">
        <v>65</v>
      </c>
      <c r="I25" t="s">
        <v>256</v>
      </c>
      <c r="J25" t="s">
        <v>34</v>
      </c>
      <c r="L25" t="s">
        <v>30</v>
      </c>
      <c r="M25">
        <v>22</v>
      </c>
      <c r="N25" t="s">
        <v>86</v>
      </c>
      <c r="O25" t="s">
        <v>111</v>
      </c>
      <c r="P25">
        <v>0</v>
      </c>
      <c r="Q25">
        <v>100</v>
      </c>
      <c r="R25" t="s">
        <v>36</v>
      </c>
      <c r="S25">
        <v>12</v>
      </c>
      <c r="T25">
        <v>12</v>
      </c>
      <c r="U25" t="s">
        <v>112</v>
      </c>
      <c r="V25" t="s">
        <v>37</v>
      </c>
      <c r="W25">
        <v>450</v>
      </c>
      <c r="X25">
        <v>532</v>
      </c>
      <c r="Y25">
        <v>8.3000000000000007</v>
      </c>
      <c r="Z25">
        <v>500</v>
      </c>
      <c r="AA25">
        <v>2000</v>
      </c>
      <c r="AB25">
        <v>50</v>
      </c>
      <c r="AC25" t="s">
        <v>40</v>
      </c>
    </row>
    <row r="26" spans="1:29" x14ac:dyDescent="0.25">
      <c r="A26" t="str">
        <f>"Raman_"&amp;E26&amp;"_"&amp;B26&amp;"_"&amp;AC26&amp;"_"&amp;TEXT(F26, "000")&amp;"_"&amp;TEXT(G26, "000")&amp;"_"&amp;H26&amp;".csv"</f>
        <v>Raman_EG_Pavlovagyrans_raw_002_001_D1.csv</v>
      </c>
      <c r="B26" t="s">
        <v>255</v>
      </c>
      <c r="C26" t="s">
        <v>30</v>
      </c>
      <c r="D26" t="s">
        <v>30</v>
      </c>
      <c r="E26" t="s">
        <v>31</v>
      </c>
      <c r="F26">
        <v>2</v>
      </c>
      <c r="G26">
        <v>1</v>
      </c>
      <c r="H26" t="s">
        <v>146</v>
      </c>
      <c r="I26" t="s">
        <v>256</v>
      </c>
      <c r="J26" t="s">
        <v>34</v>
      </c>
      <c r="L26" t="s">
        <v>30</v>
      </c>
      <c r="M26">
        <v>22</v>
      </c>
      <c r="N26" t="s">
        <v>35</v>
      </c>
      <c r="O26" t="s">
        <v>111</v>
      </c>
      <c r="P26">
        <v>0</v>
      </c>
      <c r="Q26">
        <v>100</v>
      </c>
      <c r="R26" t="s">
        <v>36</v>
      </c>
      <c r="S26">
        <v>12</v>
      </c>
      <c r="T26">
        <v>12</v>
      </c>
      <c r="U26" t="s">
        <v>112</v>
      </c>
      <c r="V26" t="s">
        <v>37</v>
      </c>
      <c r="W26">
        <v>450</v>
      </c>
      <c r="X26">
        <v>532</v>
      </c>
      <c r="Y26">
        <v>8.3000000000000007</v>
      </c>
      <c r="Z26">
        <v>500</v>
      </c>
      <c r="AA26">
        <v>2000</v>
      </c>
      <c r="AB26">
        <v>50</v>
      </c>
      <c r="AC26" t="s">
        <v>40</v>
      </c>
    </row>
    <row r="27" spans="1:29" x14ac:dyDescent="0.25">
      <c r="A27" t="str">
        <f>"Raman_"&amp;E27&amp;"_"&amp;B27&amp;"_"&amp;AC27&amp;"_"&amp;TEXT(F27, "000")&amp;"_"&amp;TEXT(G27, "000")&amp;"_"&amp;H27&amp;".csv"</f>
        <v>Raman_EG_Pavlovagyrans_raw_002_001_D2.csv</v>
      </c>
      <c r="B27" t="s">
        <v>255</v>
      </c>
      <c r="C27" t="s">
        <v>30</v>
      </c>
      <c r="D27" t="s">
        <v>30</v>
      </c>
      <c r="E27" t="s">
        <v>31</v>
      </c>
      <c r="F27">
        <v>2</v>
      </c>
      <c r="G27">
        <v>1</v>
      </c>
      <c r="H27" t="s">
        <v>69</v>
      </c>
      <c r="I27" t="s">
        <v>256</v>
      </c>
      <c r="J27" t="s">
        <v>34</v>
      </c>
      <c r="L27" t="s">
        <v>30</v>
      </c>
      <c r="M27">
        <v>22</v>
      </c>
      <c r="N27" t="s">
        <v>80</v>
      </c>
      <c r="O27" t="s">
        <v>111</v>
      </c>
      <c r="P27">
        <v>0</v>
      </c>
      <c r="Q27">
        <v>100</v>
      </c>
      <c r="R27" t="s">
        <v>36</v>
      </c>
      <c r="S27">
        <v>12</v>
      </c>
      <c r="T27">
        <v>12</v>
      </c>
      <c r="U27" t="s">
        <v>112</v>
      </c>
      <c r="V27" t="s">
        <v>37</v>
      </c>
      <c r="W27">
        <v>450</v>
      </c>
      <c r="X27">
        <v>532</v>
      </c>
      <c r="Y27">
        <v>8.3000000000000007</v>
      </c>
      <c r="Z27">
        <v>500</v>
      </c>
      <c r="AA27">
        <v>2000</v>
      </c>
      <c r="AB27">
        <v>50</v>
      </c>
      <c r="AC27" t="s">
        <v>40</v>
      </c>
    </row>
    <row r="28" spans="1:29" x14ac:dyDescent="0.25">
      <c r="A28" t="str">
        <f>"Raman_"&amp;E28&amp;"_"&amp;B28&amp;"_"&amp;AC28&amp;"_"&amp;TEXT(F28, "000")&amp;"_"&amp;TEXT(G28, "000")&amp;"_"&amp;H28&amp;".csv"</f>
        <v>Raman_EG_Pavlovagyrans_raw_002_001_D3.csv</v>
      </c>
      <c r="B28" t="s">
        <v>255</v>
      </c>
      <c r="C28" t="s">
        <v>30</v>
      </c>
      <c r="D28" t="s">
        <v>30</v>
      </c>
      <c r="E28" t="s">
        <v>31</v>
      </c>
      <c r="F28">
        <v>2</v>
      </c>
      <c r="G28">
        <v>1</v>
      </c>
      <c r="H28" t="s">
        <v>70</v>
      </c>
      <c r="I28" t="s">
        <v>256</v>
      </c>
      <c r="J28" t="s">
        <v>34</v>
      </c>
      <c r="L28" t="s">
        <v>30</v>
      </c>
      <c r="M28">
        <v>22</v>
      </c>
      <c r="N28" t="s">
        <v>42</v>
      </c>
      <c r="O28" t="s">
        <v>111</v>
      </c>
      <c r="P28">
        <v>0</v>
      </c>
      <c r="Q28">
        <v>100</v>
      </c>
      <c r="R28" t="s">
        <v>36</v>
      </c>
      <c r="S28">
        <v>12</v>
      </c>
      <c r="T28">
        <v>12</v>
      </c>
      <c r="U28" t="s">
        <v>112</v>
      </c>
      <c r="V28" t="s">
        <v>37</v>
      </c>
      <c r="W28">
        <v>450</v>
      </c>
      <c r="X28">
        <v>532</v>
      </c>
      <c r="Y28">
        <v>8.3000000000000007</v>
      </c>
      <c r="Z28">
        <v>500</v>
      </c>
      <c r="AA28">
        <v>2000</v>
      </c>
      <c r="AB28">
        <v>50</v>
      </c>
      <c r="AC28" t="s">
        <v>40</v>
      </c>
    </row>
    <row r="29" spans="1:29" x14ac:dyDescent="0.25">
      <c r="A29" t="str">
        <f>"Raman_"&amp;E29&amp;"_"&amp;B29&amp;"_"&amp;AC29&amp;"_"&amp;TEXT(F29, "000")&amp;"_"&amp;TEXT(G29, "000")&amp;"_"&amp;H29&amp;".csv"</f>
        <v>Raman_EG_Pavlovagyrans_raw_002_001_D4.csv</v>
      </c>
      <c r="B29" t="s">
        <v>255</v>
      </c>
      <c r="C29" t="s">
        <v>30</v>
      </c>
      <c r="D29" t="s">
        <v>30</v>
      </c>
      <c r="E29" t="s">
        <v>31</v>
      </c>
      <c r="F29">
        <v>2</v>
      </c>
      <c r="G29">
        <v>1</v>
      </c>
      <c r="H29" t="s">
        <v>71</v>
      </c>
      <c r="I29" t="s">
        <v>256</v>
      </c>
      <c r="J29" t="s">
        <v>34</v>
      </c>
      <c r="L29" t="s">
        <v>30</v>
      </c>
      <c r="M29">
        <v>22</v>
      </c>
      <c r="N29" t="s">
        <v>82</v>
      </c>
      <c r="O29" t="s">
        <v>111</v>
      </c>
      <c r="P29">
        <v>0</v>
      </c>
      <c r="Q29">
        <v>100</v>
      </c>
      <c r="R29" t="s">
        <v>36</v>
      </c>
      <c r="S29">
        <v>12</v>
      </c>
      <c r="T29">
        <v>12</v>
      </c>
      <c r="U29" t="s">
        <v>112</v>
      </c>
      <c r="V29" t="s">
        <v>37</v>
      </c>
      <c r="W29">
        <v>450</v>
      </c>
      <c r="X29">
        <v>532</v>
      </c>
      <c r="Y29">
        <v>8.3000000000000007</v>
      </c>
      <c r="Z29">
        <v>500</v>
      </c>
      <c r="AA29">
        <v>2000</v>
      </c>
      <c r="AB29">
        <v>50</v>
      </c>
      <c r="AC29" t="s">
        <v>40</v>
      </c>
    </row>
    <row r="30" spans="1:29" x14ac:dyDescent="0.25">
      <c r="A30" t="str">
        <f>"Raman_"&amp;E30&amp;"_"&amp;B30&amp;"_"&amp;AC30&amp;"_"&amp;TEXT(F30, "000")&amp;"_"&amp;TEXT(G30, "000")&amp;"_"&amp;H30&amp;".csv"</f>
        <v>Raman_EG_Pavlovagyrans_raw_002_001_D5.csv</v>
      </c>
      <c r="B30" t="s">
        <v>255</v>
      </c>
      <c r="C30" t="s">
        <v>30</v>
      </c>
      <c r="D30" t="s">
        <v>30</v>
      </c>
      <c r="E30" t="s">
        <v>31</v>
      </c>
      <c r="F30">
        <v>2</v>
      </c>
      <c r="G30">
        <v>1</v>
      </c>
      <c r="H30" t="s">
        <v>72</v>
      </c>
      <c r="I30" t="s">
        <v>256</v>
      </c>
      <c r="J30" t="s">
        <v>34</v>
      </c>
      <c r="L30" t="s">
        <v>30</v>
      </c>
      <c r="M30">
        <v>22</v>
      </c>
      <c r="N30" t="s">
        <v>44</v>
      </c>
      <c r="O30" t="s">
        <v>111</v>
      </c>
      <c r="P30">
        <v>0</v>
      </c>
      <c r="Q30">
        <v>100</v>
      </c>
      <c r="R30" t="s">
        <v>36</v>
      </c>
      <c r="S30">
        <v>12</v>
      </c>
      <c r="T30">
        <v>12</v>
      </c>
      <c r="U30" t="s">
        <v>112</v>
      </c>
      <c r="V30" t="s">
        <v>37</v>
      </c>
      <c r="W30">
        <v>450</v>
      </c>
      <c r="X30">
        <v>532</v>
      </c>
      <c r="Y30">
        <v>8.3000000000000007</v>
      </c>
      <c r="Z30">
        <v>500</v>
      </c>
      <c r="AA30">
        <v>2000</v>
      </c>
      <c r="AB30">
        <v>50</v>
      </c>
      <c r="AC30" t="s">
        <v>40</v>
      </c>
    </row>
    <row r="31" spans="1:29" x14ac:dyDescent="0.25">
      <c r="A31" t="str">
        <f>"Raman_"&amp;E31&amp;"_"&amp;B31&amp;"_"&amp;AC31&amp;"_"&amp;TEXT(F31, "000")&amp;"_"&amp;TEXT(G31, "000")&amp;"_"&amp;H31&amp;".csv"</f>
        <v>Raman_EG_Pavlovagyrans_raw_002_001_D6.csv</v>
      </c>
      <c r="B31" t="s">
        <v>255</v>
      </c>
      <c r="C31" t="s">
        <v>30</v>
      </c>
      <c r="D31" t="s">
        <v>30</v>
      </c>
      <c r="E31" t="s">
        <v>31</v>
      </c>
      <c r="F31">
        <v>2</v>
      </c>
      <c r="G31">
        <v>1</v>
      </c>
      <c r="H31" t="s">
        <v>73</v>
      </c>
      <c r="I31" t="s">
        <v>256</v>
      </c>
      <c r="J31" t="s">
        <v>34</v>
      </c>
      <c r="L31" t="s">
        <v>30</v>
      </c>
      <c r="M31">
        <v>22</v>
      </c>
      <c r="N31" t="s">
        <v>84</v>
      </c>
      <c r="O31" t="s">
        <v>111</v>
      </c>
      <c r="P31">
        <v>0</v>
      </c>
      <c r="Q31">
        <v>100</v>
      </c>
      <c r="R31" t="s">
        <v>36</v>
      </c>
      <c r="S31">
        <v>12</v>
      </c>
      <c r="T31">
        <v>12</v>
      </c>
      <c r="U31" t="s">
        <v>112</v>
      </c>
      <c r="V31" t="s">
        <v>37</v>
      </c>
      <c r="W31">
        <v>450</v>
      </c>
      <c r="X31">
        <v>532</v>
      </c>
      <c r="Y31">
        <v>8.3000000000000007</v>
      </c>
      <c r="Z31">
        <v>500</v>
      </c>
      <c r="AA31">
        <v>2000</v>
      </c>
      <c r="AB31">
        <v>50</v>
      </c>
      <c r="AC31" t="s">
        <v>40</v>
      </c>
    </row>
    <row r="32" spans="1:29" x14ac:dyDescent="0.25">
      <c r="A32" t="str">
        <f>"Raman_"&amp;E32&amp;"_"&amp;B32&amp;"_"&amp;AC32&amp;"_"&amp;TEXT(F32, "000")&amp;"_"&amp;TEXT(G32, "000")&amp;"_"&amp;H32&amp;".csv"</f>
        <v>Raman_EG_Pavlovagyrans_raw_002_001_D7.csv</v>
      </c>
      <c r="B32" t="s">
        <v>255</v>
      </c>
      <c r="C32" t="s">
        <v>30</v>
      </c>
      <c r="D32" t="s">
        <v>30</v>
      </c>
      <c r="E32" t="s">
        <v>31</v>
      </c>
      <c r="F32">
        <v>2</v>
      </c>
      <c r="G32">
        <v>1</v>
      </c>
      <c r="H32" t="s">
        <v>74</v>
      </c>
      <c r="I32" t="s">
        <v>256</v>
      </c>
      <c r="J32" t="s">
        <v>34</v>
      </c>
      <c r="L32" t="s">
        <v>30</v>
      </c>
      <c r="M32">
        <v>22</v>
      </c>
      <c r="N32" t="s">
        <v>46</v>
      </c>
      <c r="O32" t="s">
        <v>111</v>
      </c>
      <c r="P32">
        <v>0</v>
      </c>
      <c r="Q32">
        <v>100</v>
      </c>
      <c r="R32" t="s">
        <v>36</v>
      </c>
      <c r="S32">
        <v>12</v>
      </c>
      <c r="T32">
        <v>12</v>
      </c>
      <c r="U32" t="s">
        <v>112</v>
      </c>
      <c r="V32" t="s">
        <v>37</v>
      </c>
      <c r="W32">
        <v>450</v>
      </c>
      <c r="X32">
        <v>532</v>
      </c>
      <c r="Y32">
        <v>8.3000000000000007</v>
      </c>
      <c r="Z32">
        <v>500</v>
      </c>
      <c r="AA32">
        <v>2000</v>
      </c>
      <c r="AB32">
        <v>50</v>
      </c>
      <c r="AC32" t="s">
        <v>40</v>
      </c>
    </row>
    <row r="33" spans="1:29" x14ac:dyDescent="0.25">
      <c r="A33" t="str">
        <f>"Raman_"&amp;E33&amp;"_"&amp;B33&amp;"_"&amp;AC33&amp;"_"&amp;TEXT(F33, "000")&amp;"_"&amp;TEXT(G33, "000")&amp;"_"&amp;H33&amp;".csv"</f>
        <v>Raman_EG_Pavlovagyrans_raw_002_001_D8.csv</v>
      </c>
      <c r="B33" t="s">
        <v>255</v>
      </c>
      <c r="C33" t="s">
        <v>30</v>
      </c>
      <c r="D33" t="s">
        <v>30</v>
      </c>
      <c r="E33" t="s">
        <v>31</v>
      </c>
      <c r="F33">
        <v>2</v>
      </c>
      <c r="G33">
        <v>1</v>
      </c>
      <c r="H33" t="s">
        <v>75</v>
      </c>
      <c r="I33" t="s">
        <v>256</v>
      </c>
      <c r="J33" t="s">
        <v>34</v>
      </c>
      <c r="L33" t="s">
        <v>30</v>
      </c>
      <c r="M33">
        <v>22</v>
      </c>
      <c r="N33" t="s">
        <v>86</v>
      </c>
      <c r="O33" t="s">
        <v>111</v>
      </c>
      <c r="P33">
        <v>0</v>
      </c>
      <c r="Q33">
        <v>100</v>
      </c>
      <c r="R33" t="s">
        <v>36</v>
      </c>
      <c r="S33">
        <v>12</v>
      </c>
      <c r="T33">
        <v>12</v>
      </c>
      <c r="U33" t="s">
        <v>112</v>
      </c>
      <c r="V33" t="s">
        <v>37</v>
      </c>
      <c r="W33">
        <v>450</v>
      </c>
      <c r="X33">
        <v>532</v>
      </c>
      <c r="Y33">
        <v>8.3000000000000007</v>
      </c>
      <c r="Z33">
        <v>500</v>
      </c>
      <c r="AA33">
        <v>2000</v>
      </c>
      <c r="AB33">
        <v>50</v>
      </c>
      <c r="AC33" t="s">
        <v>40</v>
      </c>
    </row>
    <row r="34" spans="1:29" x14ac:dyDescent="0.25">
      <c r="A34" t="str">
        <f>"Raman_"&amp;E34&amp;"_"&amp;B34&amp;"_"&amp;AC34&amp;"_"&amp;TEXT(F34, "000")&amp;"_"&amp;TEXT(G34, "000")&amp;"_"&amp;H34&amp;".csv"</f>
        <v>Raman_EG_Pavlovagyrans_raw_002_001_E1.csv</v>
      </c>
      <c r="B34" t="s">
        <v>255</v>
      </c>
      <c r="C34" t="s">
        <v>30</v>
      </c>
      <c r="D34" t="s">
        <v>30</v>
      </c>
      <c r="E34" t="s">
        <v>31</v>
      </c>
      <c r="F34">
        <v>2</v>
      </c>
      <c r="G34">
        <v>1</v>
      </c>
      <c r="H34" t="s">
        <v>155</v>
      </c>
      <c r="I34" t="s">
        <v>256</v>
      </c>
      <c r="J34" t="s">
        <v>34</v>
      </c>
      <c r="L34" t="s">
        <v>30</v>
      </c>
      <c r="M34">
        <v>22</v>
      </c>
      <c r="N34" t="s">
        <v>35</v>
      </c>
      <c r="O34" t="s">
        <v>111</v>
      </c>
      <c r="P34">
        <v>0</v>
      </c>
      <c r="Q34">
        <v>100</v>
      </c>
      <c r="R34" t="s">
        <v>36</v>
      </c>
      <c r="S34">
        <v>12</v>
      </c>
      <c r="T34">
        <v>12</v>
      </c>
      <c r="U34" t="s">
        <v>112</v>
      </c>
      <c r="V34" t="s">
        <v>37</v>
      </c>
      <c r="W34">
        <v>450</v>
      </c>
      <c r="X34">
        <v>532</v>
      </c>
      <c r="Y34">
        <v>8.3000000000000007</v>
      </c>
      <c r="Z34">
        <v>500</v>
      </c>
      <c r="AA34">
        <v>2000</v>
      </c>
      <c r="AB34">
        <v>50</v>
      </c>
      <c r="AC34" t="s">
        <v>40</v>
      </c>
    </row>
    <row r="35" spans="1:29" x14ac:dyDescent="0.25">
      <c r="A35" t="str">
        <f>"Raman_"&amp;E35&amp;"_"&amp;B35&amp;"_"&amp;AC35&amp;"_"&amp;TEXT(F35, "000")&amp;"_"&amp;TEXT(G35, "000")&amp;"_"&amp;H35&amp;".csv"</f>
        <v>Raman_EG_Pavlovagyrans_raw_002_001_E2.csv</v>
      </c>
      <c r="B35" t="s">
        <v>255</v>
      </c>
      <c r="C35" t="s">
        <v>30</v>
      </c>
      <c r="D35" t="s">
        <v>30</v>
      </c>
      <c r="E35" t="s">
        <v>31</v>
      </c>
      <c r="F35">
        <v>2</v>
      </c>
      <c r="G35">
        <v>1</v>
      </c>
      <c r="H35" t="s">
        <v>79</v>
      </c>
      <c r="I35" t="s">
        <v>256</v>
      </c>
      <c r="J35" t="s">
        <v>34</v>
      </c>
      <c r="L35" t="s">
        <v>30</v>
      </c>
      <c r="M35">
        <v>22</v>
      </c>
      <c r="N35" t="s">
        <v>80</v>
      </c>
      <c r="O35" t="s">
        <v>111</v>
      </c>
      <c r="P35">
        <v>0</v>
      </c>
      <c r="Q35">
        <v>100</v>
      </c>
      <c r="R35" t="s">
        <v>36</v>
      </c>
      <c r="S35">
        <v>12</v>
      </c>
      <c r="T35">
        <v>12</v>
      </c>
      <c r="U35" t="s">
        <v>112</v>
      </c>
      <c r="V35" t="s">
        <v>37</v>
      </c>
      <c r="W35">
        <v>450</v>
      </c>
      <c r="X35">
        <v>532</v>
      </c>
      <c r="Y35">
        <v>8.3000000000000007</v>
      </c>
      <c r="Z35">
        <v>500</v>
      </c>
      <c r="AA35">
        <v>2000</v>
      </c>
      <c r="AB35">
        <v>50</v>
      </c>
      <c r="AC35" t="s">
        <v>40</v>
      </c>
    </row>
    <row r="36" spans="1:29" x14ac:dyDescent="0.25">
      <c r="A36" t="str">
        <f>"Raman_"&amp;E36&amp;"_"&amp;B36&amp;"_"&amp;AC36&amp;"_"&amp;TEXT(F36, "000")&amp;"_"&amp;TEXT(G36, "000")&amp;"_"&amp;H36&amp;".csv"</f>
        <v>Raman_EG_Pavlovagyrans_raw_002_001_E3.csv</v>
      </c>
      <c r="B36" t="s">
        <v>255</v>
      </c>
      <c r="C36" t="s">
        <v>30</v>
      </c>
      <c r="D36" t="s">
        <v>30</v>
      </c>
      <c r="E36" t="s">
        <v>31</v>
      </c>
      <c r="F36">
        <v>2</v>
      </c>
      <c r="G36">
        <v>1</v>
      </c>
      <c r="H36" t="s">
        <v>81</v>
      </c>
      <c r="I36" t="s">
        <v>256</v>
      </c>
      <c r="J36" t="s">
        <v>34</v>
      </c>
      <c r="L36" t="s">
        <v>30</v>
      </c>
      <c r="M36">
        <v>22</v>
      </c>
      <c r="N36" t="s">
        <v>42</v>
      </c>
      <c r="O36" t="s">
        <v>111</v>
      </c>
      <c r="P36">
        <v>0</v>
      </c>
      <c r="Q36">
        <v>100</v>
      </c>
      <c r="R36" t="s">
        <v>36</v>
      </c>
      <c r="S36">
        <v>12</v>
      </c>
      <c r="T36">
        <v>12</v>
      </c>
      <c r="U36" t="s">
        <v>112</v>
      </c>
      <c r="V36" t="s">
        <v>37</v>
      </c>
      <c r="W36">
        <v>450</v>
      </c>
      <c r="X36">
        <v>532</v>
      </c>
      <c r="Y36">
        <v>8.3000000000000007</v>
      </c>
      <c r="Z36">
        <v>500</v>
      </c>
      <c r="AA36">
        <v>2000</v>
      </c>
      <c r="AB36">
        <v>50</v>
      </c>
      <c r="AC36" t="s">
        <v>40</v>
      </c>
    </row>
    <row r="37" spans="1:29" x14ac:dyDescent="0.25">
      <c r="A37" t="str">
        <f>"Raman_"&amp;E37&amp;"_"&amp;B37&amp;"_"&amp;AC37&amp;"_"&amp;TEXT(F37, "000")&amp;"_"&amp;TEXT(G37, "000")&amp;"_"&amp;H37&amp;".csv"</f>
        <v>Raman_EG_Pavlovagyrans_raw_002_001_E4.csv</v>
      </c>
      <c r="B37" t="s">
        <v>255</v>
      </c>
      <c r="C37" t="s">
        <v>30</v>
      </c>
      <c r="D37" t="s">
        <v>30</v>
      </c>
      <c r="E37" t="s">
        <v>31</v>
      </c>
      <c r="F37">
        <v>2</v>
      </c>
      <c r="G37">
        <v>1</v>
      </c>
      <c r="H37" t="s">
        <v>83</v>
      </c>
      <c r="I37" t="s">
        <v>256</v>
      </c>
      <c r="J37" t="s">
        <v>34</v>
      </c>
      <c r="L37" t="s">
        <v>30</v>
      </c>
      <c r="M37">
        <v>22</v>
      </c>
      <c r="N37" t="s">
        <v>82</v>
      </c>
      <c r="O37" t="s">
        <v>111</v>
      </c>
      <c r="P37">
        <v>0</v>
      </c>
      <c r="Q37">
        <v>100</v>
      </c>
      <c r="R37" t="s">
        <v>36</v>
      </c>
      <c r="S37">
        <v>12</v>
      </c>
      <c r="T37">
        <v>12</v>
      </c>
      <c r="U37" t="s">
        <v>112</v>
      </c>
      <c r="V37" t="s">
        <v>37</v>
      </c>
      <c r="W37">
        <v>450</v>
      </c>
      <c r="X37">
        <v>532</v>
      </c>
      <c r="Y37">
        <v>8.3000000000000007</v>
      </c>
      <c r="Z37">
        <v>500</v>
      </c>
      <c r="AA37">
        <v>2000</v>
      </c>
      <c r="AB37">
        <v>50</v>
      </c>
      <c r="AC37" t="s">
        <v>40</v>
      </c>
    </row>
    <row r="38" spans="1:29" x14ac:dyDescent="0.25">
      <c r="A38" t="str">
        <f>"Raman_"&amp;E38&amp;"_"&amp;B38&amp;"_"&amp;AC38&amp;"_"&amp;TEXT(F38, "000")&amp;"_"&amp;TEXT(G38, "000")&amp;"_"&amp;H38&amp;".csv"</f>
        <v>Raman_EG_Pavlovagyrans_raw_002_001_E5.csv</v>
      </c>
      <c r="B38" t="s">
        <v>255</v>
      </c>
      <c r="C38" t="s">
        <v>30</v>
      </c>
      <c r="D38" t="s">
        <v>30</v>
      </c>
      <c r="E38" t="s">
        <v>31</v>
      </c>
      <c r="F38">
        <v>2</v>
      </c>
      <c r="G38">
        <v>1</v>
      </c>
      <c r="H38" t="s">
        <v>85</v>
      </c>
      <c r="I38" t="s">
        <v>256</v>
      </c>
      <c r="J38" t="s">
        <v>34</v>
      </c>
      <c r="L38" t="s">
        <v>30</v>
      </c>
      <c r="M38">
        <v>22</v>
      </c>
      <c r="N38" t="s">
        <v>44</v>
      </c>
      <c r="O38" t="s">
        <v>111</v>
      </c>
      <c r="P38">
        <v>0</v>
      </c>
      <c r="Q38">
        <v>100</v>
      </c>
      <c r="R38" t="s">
        <v>36</v>
      </c>
      <c r="S38">
        <v>12</v>
      </c>
      <c r="T38">
        <v>12</v>
      </c>
      <c r="U38" t="s">
        <v>112</v>
      </c>
      <c r="V38" t="s">
        <v>37</v>
      </c>
      <c r="W38">
        <v>450</v>
      </c>
      <c r="X38">
        <v>532</v>
      </c>
      <c r="Y38">
        <v>8.3000000000000007</v>
      </c>
      <c r="Z38">
        <v>500</v>
      </c>
      <c r="AA38">
        <v>2000</v>
      </c>
      <c r="AB38">
        <v>50</v>
      </c>
      <c r="AC38" t="s">
        <v>40</v>
      </c>
    </row>
    <row r="39" spans="1:29" x14ac:dyDescent="0.25">
      <c r="A39" t="str">
        <f>"Raman_"&amp;E39&amp;"_"&amp;B39&amp;"_"&amp;AC39&amp;"_"&amp;TEXT(F39, "000")&amp;"_"&amp;TEXT(G39, "000")&amp;"_"&amp;H39&amp;".csv"</f>
        <v>Raman_EG_Pavlovagyrans_raw_002_001_E6.csv</v>
      </c>
      <c r="B39" t="s">
        <v>255</v>
      </c>
      <c r="C39" t="s">
        <v>30</v>
      </c>
      <c r="D39" t="s">
        <v>30</v>
      </c>
      <c r="E39" t="s">
        <v>31</v>
      </c>
      <c r="F39">
        <v>2</v>
      </c>
      <c r="G39">
        <v>1</v>
      </c>
      <c r="H39" t="s">
        <v>87</v>
      </c>
      <c r="I39" t="s">
        <v>256</v>
      </c>
      <c r="J39" t="s">
        <v>34</v>
      </c>
      <c r="L39" t="s">
        <v>30</v>
      </c>
      <c r="M39">
        <v>22</v>
      </c>
      <c r="N39" t="s">
        <v>84</v>
      </c>
      <c r="O39" t="s">
        <v>111</v>
      </c>
      <c r="P39">
        <v>0</v>
      </c>
      <c r="Q39">
        <v>100</v>
      </c>
      <c r="R39" t="s">
        <v>36</v>
      </c>
      <c r="S39">
        <v>12</v>
      </c>
      <c r="T39">
        <v>12</v>
      </c>
      <c r="U39" t="s">
        <v>112</v>
      </c>
      <c r="V39" t="s">
        <v>37</v>
      </c>
      <c r="W39">
        <v>450</v>
      </c>
      <c r="X39">
        <v>532</v>
      </c>
      <c r="Y39">
        <v>8.3000000000000007</v>
      </c>
      <c r="Z39">
        <v>500</v>
      </c>
      <c r="AA39">
        <v>2000</v>
      </c>
      <c r="AB39">
        <v>50</v>
      </c>
      <c r="AC39" t="s">
        <v>40</v>
      </c>
    </row>
    <row r="40" spans="1:29" x14ac:dyDescent="0.25">
      <c r="A40" t="str">
        <f>"Raman_"&amp;E40&amp;"_"&amp;B40&amp;"_"&amp;AC40&amp;"_"&amp;TEXT(F40, "000")&amp;"_"&amp;TEXT(G40, "000")&amp;"_"&amp;H40&amp;".csv"</f>
        <v>Raman_EG_Pavlovagyrans_raw_002_001_E7.csv</v>
      </c>
      <c r="B40" t="s">
        <v>255</v>
      </c>
      <c r="C40" t="s">
        <v>30</v>
      </c>
      <c r="D40" t="s">
        <v>30</v>
      </c>
      <c r="E40" t="s">
        <v>31</v>
      </c>
      <c r="F40">
        <v>2</v>
      </c>
      <c r="G40">
        <v>1</v>
      </c>
      <c r="H40" t="s">
        <v>89</v>
      </c>
      <c r="I40" t="s">
        <v>256</v>
      </c>
      <c r="J40" t="s">
        <v>34</v>
      </c>
      <c r="L40" t="s">
        <v>30</v>
      </c>
      <c r="M40">
        <v>22</v>
      </c>
      <c r="N40" t="s">
        <v>46</v>
      </c>
      <c r="O40" t="s">
        <v>111</v>
      </c>
      <c r="P40">
        <v>0</v>
      </c>
      <c r="Q40">
        <v>100</v>
      </c>
      <c r="R40" t="s">
        <v>36</v>
      </c>
      <c r="S40">
        <v>12</v>
      </c>
      <c r="T40">
        <v>12</v>
      </c>
      <c r="U40" t="s">
        <v>112</v>
      </c>
      <c r="V40" t="s">
        <v>37</v>
      </c>
      <c r="W40">
        <v>450</v>
      </c>
      <c r="X40">
        <v>532</v>
      </c>
      <c r="Y40">
        <v>8.3000000000000007</v>
      </c>
      <c r="Z40">
        <v>500</v>
      </c>
      <c r="AA40">
        <v>2000</v>
      </c>
      <c r="AB40">
        <v>50</v>
      </c>
      <c r="AC40" t="s">
        <v>40</v>
      </c>
    </row>
    <row r="41" spans="1:29" x14ac:dyDescent="0.25">
      <c r="A41" t="str">
        <f>"Raman_"&amp;E41&amp;"_"&amp;B41&amp;"_"&amp;AC41&amp;"_"&amp;TEXT(F41, "000")&amp;"_"&amp;TEXT(G41, "000")&amp;"_"&amp;H41&amp;".csv"</f>
        <v>Raman_EG_Pavlovagyrans_raw_002_001_E8.csv</v>
      </c>
      <c r="B41" t="s">
        <v>255</v>
      </c>
      <c r="C41" t="s">
        <v>30</v>
      </c>
      <c r="D41" t="s">
        <v>30</v>
      </c>
      <c r="E41" t="s">
        <v>31</v>
      </c>
      <c r="F41">
        <v>2</v>
      </c>
      <c r="G41">
        <v>1</v>
      </c>
      <c r="H41" t="s">
        <v>91</v>
      </c>
      <c r="I41" t="s">
        <v>256</v>
      </c>
      <c r="J41" t="s">
        <v>34</v>
      </c>
      <c r="L41" t="s">
        <v>30</v>
      </c>
      <c r="M41">
        <v>22</v>
      </c>
      <c r="N41" t="s">
        <v>86</v>
      </c>
      <c r="O41" t="s">
        <v>111</v>
      </c>
      <c r="P41">
        <v>0</v>
      </c>
      <c r="Q41">
        <v>100</v>
      </c>
      <c r="R41" t="s">
        <v>36</v>
      </c>
      <c r="S41">
        <v>12</v>
      </c>
      <c r="T41">
        <v>12</v>
      </c>
      <c r="U41" t="s">
        <v>112</v>
      </c>
      <c r="V41" t="s">
        <v>37</v>
      </c>
      <c r="W41">
        <v>450</v>
      </c>
      <c r="X41">
        <v>532</v>
      </c>
      <c r="Y41">
        <v>8.3000000000000007</v>
      </c>
      <c r="Z41">
        <v>500</v>
      </c>
      <c r="AA41">
        <v>2000</v>
      </c>
      <c r="AB41">
        <v>50</v>
      </c>
      <c r="AC41" t="s">
        <v>40</v>
      </c>
    </row>
    <row r="42" spans="1:29" x14ac:dyDescent="0.25">
      <c r="A42" t="str">
        <f>"Raman_"&amp;E42&amp;"_"&amp;B42&amp;"_"&amp;AC42&amp;"_"&amp;TEXT(F42, "000")&amp;"_"&amp;TEXT(G42, "000")&amp;"_"&amp;H42&amp;".csv"</f>
        <v>Raman_EG_Pavlovagyrans_raw_002_001_F1.csv</v>
      </c>
      <c r="B42" t="s">
        <v>255</v>
      </c>
      <c r="C42" t="s">
        <v>30</v>
      </c>
      <c r="D42" t="s">
        <v>30</v>
      </c>
      <c r="E42" t="s">
        <v>31</v>
      </c>
      <c r="F42">
        <v>2</v>
      </c>
      <c r="G42">
        <v>1</v>
      </c>
      <c r="H42" t="s">
        <v>164</v>
      </c>
      <c r="I42" t="s">
        <v>256</v>
      </c>
      <c r="J42" t="s">
        <v>34</v>
      </c>
      <c r="L42" t="s">
        <v>30</v>
      </c>
      <c r="M42">
        <v>22</v>
      </c>
      <c r="N42" t="s">
        <v>35</v>
      </c>
      <c r="O42" t="s">
        <v>111</v>
      </c>
      <c r="P42">
        <v>0</v>
      </c>
      <c r="Q42">
        <v>100</v>
      </c>
      <c r="R42" t="s">
        <v>36</v>
      </c>
      <c r="S42">
        <v>12</v>
      </c>
      <c r="T42">
        <v>12</v>
      </c>
      <c r="U42" t="s">
        <v>112</v>
      </c>
      <c r="V42" t="s">
        <v>37</v>
      </c>
      <c r="W42">
        <v>450</v>
      </c>
      <c r="X42">
        <v>532</v>
      </c>
      <c r="Y42">
        <v>8.3000000000000007</v>
      </c>
      <c r="Z42">
        <v>500</v>
      </c>
      <c r="AA42">
        <v>2000</v>
      </c>
      <c r="AB42">
        <v>50</v>
      </c>
      <c r="AC42" t="s">
        <v>40</v>
      </c>
    </row>
    <row r="43" spans="1:29" x14ac:dyDescent="0.25">
      <c r="A43" t="str">
        <f>"Raman_"&amp;E43&amp;"_"&amp;B43&amp;"_"&amp;AC43&amp;"_"&amp;TEXT(F43, "000")&amp;"_"&amp;TEXT(G43, "000")&amp;"_"&amp;H43&amp;".csv"</f>
        <v>Raman_EG_Pavlovagyrans_raw_002_001_F2.csv</v>
      </c>
      <c r="B43" t="s">
        <v>255</v>
      </c>
      <c r="C43" t="s">
        <v>30</v>
      </c>
      <c r="D43" t="s">
        <v>30</v>
      </c>
      <c r="E43" t="s">
        <v>31</v>
      </c>
      <c r="F43">
        <v>2</v>
      </c>
      <c r="G43">
        <v>1</v>
      </c>
      <c r="H43" t="s">
        <v>98</v>
      </c>
      <c r="I43" t="s">
        <v>256</v>
      </c>
      <c r="J43" t="s">
        <v>34</v>
      </c>
      <c r="L43" t="s">
        <v>30</v>
      </c>
      <c r="M43">
        <v>22</v>
      </c>
      <c r="N43" t="s">
        <v>80</v>
      </c>
      <c r="O43" t="s">
        <v>111</v>
      </c>
      <c r="P43">
        <v>0</v>
      </c>
      <c r="Q43">
        <v>100</v>
      </c>
      <c r="R43" t="s">
        <v>36</v>
      </c>
      <c r="S43">
        <v>12</v>
      </c>
      <c r="T43">
        <v>12</v>
      </c>
      <c r="U43" t="s">
        <v>112</v>
      </c>
      <c r="V43" t="s">
        <v>37</v>
      </c>
      <c r="W43">
        <v>450</v>
      </c>
      <c r="X43">
        <v>532</v>
      </c>
      <c r="Y43">
        <v>8.3000000000000007</v>
      </c>
      <c r="Z43">
        <v>500</v>
      </c>
      <c r="AA43">
        <v>2000</v>
      </c>
      <c r="AB43">
        <v>50</v>
      </c>
      <c r="AC43" t="s">
        <v>40</v>
      </c>
    </row>
    <row r="44" spans="1:29" x14ac:dyDescent="0.25">
      <c r="A44" t="str">
        <f>"Raman_"&amp;E44&amp;"_"&amp;B44&amp;"_"&amp;AC44&amp;"_"&amp;TEXT(F44, "000")&amp;"_"&amp;TEXT(G44, "000")&amp;"_"&amp;H44&amp;".csv"</f>
        <v>Raman_EG_Pavlovagyrans_raw_002_001_F3.csv</v>
      </c>
      <c r="B44" t="s">
        <v>255</v>
      </c>
      <c r="C44" t="s">
        <v>30</v>
      </c>
      <c r="D44" t="s">
        <v>30</v>
      </c>
      <c r="E44" t="s">
        <v>31</v>
      </c>
      <c r="F44">
        <v>2</v>
      </c>
      <c r="G44">
        <v>1</v>
      </c>
      <c r="H44" t="s">
        <v>99</v>
      </c>
      <c r="I44" t="s">
        <v>256</v>
      </c>
      <c r="J44" t="s">
        <v>34</v>
      </c>
      <c r="L44" t="s">
        <v>30</v>
      </c>
      <c r="M44">
        <v>22</v>
      </c>
      <c r="N44" t="s">
        <v>42</v>
      </c>
      <c r="O44" t="s">
        <v>111</v>
      </c>
      <c r="P44">
        <v>0</v>
      </c>
      <c r="Q44">
        <v>100</v>
      </c>
      <c r="R44" t="s">
        <v>36</v>
      </c>
      <c r="S44">
        <v>12</v>
      </c>
      <c r="T44">
        <v>12</v>
      </c>
      <c r="U44" t="s">
        <v>112</v>
      </c>
      <c r="V44" t="s">
        <v>37</v>
      </c>
      <c r="W44">
        <v>450</v>
      </c>
      <c r="X44">
        <v>532</v>
      </c>
      <c r="Y44">
        <v>8.3000000000000007</v>
      </c>
      <c r="Z44">
        <v>500</v>
      </c>
      <c r="AA44">
        <v>2000</v>
      </c>
      <c r="AB44">
        <v>50</v>
      </c>
      <c r="AC44" t="s">
        <v>40</v>
      </c>
    </row>
    <row r="45" spans="1:29" x14ac:dyDescent="0.25">
      <c r="A45" t="str">
        <f>"Raman_"&amp;E45&amp;"_"&amp;B45&amp;"_"&amp;AC45&amp;"_"&amp;TEXT(F45, "000")&amp;"_"&amp;TEXT(G45, "000")&amp;"_"&amp;H45&amp;".csv"</f>
        <v>Raman_EG_Pavlovagyrans_raw_002_001_F4.csv</v>
      </c>
      <c r="B45" t="s">
        <v>255</v>
      </c>
      <c r="C45" t="s">
        <v>30</v>
      </c>
      <c r="D45" t="s">
        <v>30</v>
      </c>
      <c r="E45" t="s">
        <v>31</v>
      </c>
      <c r="F45">
        <v>2</v>
      </c>
      <c r="G45">
        <v>1</v>
      </c>
      <c r="H45" t="s">
        <v>100</v>
      </c>
      <c r="I45" t="s">
        <v>256</v>
      </c>
      <c r="J45" t="s">
        <v>34</v>
      </c>
      <c r="L45" t="s">
        <v>30</v>
      </c>
      <c r="M45">
        <v>22</v>
      </c>
      <c r="N45" t="s">
        <v>82</v>
      </c>
      <c r="O45" t="s">
        <v>111</v>
      </c>
      <c r="P45">
        <v>0</v>
      </c>
      <c r="Q45">
        <v>100</v>
      </c>
      <c r="R45" t="s">
        <v>36</v>
      </c>
      <c r="S45">
        <v>12</v>
      </c>
      <c r="T45">
        <v>12</v>
      </c>
      <c r="U45" t="s">
        <v>112</v>
      </c>
      <c r="V45" t="s">
        <v>37</v>
      </c>
      <c r="W45">
        <v>450</v>
      </c>
      <c r="X45">
        <v>532</v>
      </c>
      <c r="Y45">
        <v>8.3000000000000007</v>
      </c>
      <c r="Z45">
        <v>500</v>
      </c>
      <c r="AA45">
        <v>2000</v>
      </c>
      <c r="AB45">
        <v>50</v>
      </c>
      <c r="AC45" t="s">
        <v>40</v>
      </c>
    </row>
    <row r="46" spans="1:29" x14ac:dyDescent="0.25">
      <c r="A46" t="str">
        <f>"Raman_"&amp;E46&amp;"_"&amp;B46&amp;"_"&amp;AC46&amp;"_"&amp;TEXT(F46, "000")&amp;"_"&amp;TEXT(G46, "000")&amp;"_"&amp;H46&amp;".csv"</f>
        <v>Raman_EG_Pavlovagyrans_raw_002_001_F5.csv</v>
      </c>
      <c r="B46" t="s">
        <v>255</v>
      </c>
      <c r="C46" t="s">
        <v>30</v>
      </c>
      <c r="D46" t="s">
        <v>30</v>
      </c>
      <c r="E46" t="s">
        <v>31</v>
      </c>
      <c r="F46">
        <v>2</v>
      </c>
      <c r="G46">
        <v>1</v>
      </c>
      <c r="H46" t="s">
        <v>101</v>
      </c>
      <c r="I46" t="s">
        <v>256</v>
      </c>
      <c r="J46" t="s">
        <v>34</v>
      </c>
      <c r="L46" t="s">
        <v>30</v>
      </c>
      <c r="M46">
        <v>22</v>
      </c>
      <c r="N46" t="s">
        <v>44</v>
      </c>
      <c r="O46" t="s">
        <v>111</v>
      </c>
      <c r="P46">
        <v>0</v>
      </c>
      <c r="Q46">
        <v>100</v>
      </c>
      <c r="R46" t="s">
        <v>36</v>
      </c>
      <c r="S46">
        <v>12</v>
      </c>
      <c r="T46">
        <v>12</v>
      </c>
      <c r="U46" t="s">
        <v>112</v>
      </c>
      <c r="V46" t="s">
        <v>37</v>
      </c>
      <c r="W46">
        <v>450</v>
      </c>
      <c r="X46">
        <v>532</v>
      </c>
      <c r="Y46">
        <v>8.3000000000000007</v>
      </c>
      <c r="Z46">
        <v>500</v>
      </c>
      <c r="AA46">
        <v>2000</v>
      </c>
      <c r="AB46">
        <v>50</v>
      </c>
      <c r="AC46" t="s">
        <v>40</v>
      </c>
    </row>
    <row r="47" spans="1:29" x14ac:dyDescent="0.25">
      <c r="A47" t="str">
        <f>"Raman_"&amp;E47&amp;"_"&amp;B47&amp;"_"&amp;AC47&amp;"_"&amp;TEXT(F47, "000")&amp;"_"&amp;TEXT(G47, "000")&amp;"_"&amp;H47&amp;".csv"</f>
        <v>Raman_EG_Pavlovagyrans_raw_002_001_F6.csv</v>
      </c>
      <c r="B47" t="s">
        <v>255</v>
      </c>
      <c r="C47" t="s">
        <v>30</v>
      </c>
      <c r="D47" t="s">
        <v>30</v>
      </c>
      <c r="E47" t="s">
        <v>31</v>
      </c>
      <c r="F47">
        <v>2</v>
      </c>
      <c r="G47">
        <v>1</v>
      </c>
      <c r="H47" t="s">
        <v>102</v>
      </c>
      <c r="I47" t="s">
        <v>256</v>
      </c>
      <c r="J47" t="s">
        <v>34</v>
      </c>
      <c r="L47" t="s">
        <v>30</v>
      </c>
      <c r="M47">
        <v>22</v>
      </c>
      <c r="N47" t="s">
        <v>84</v>
      </c>
      <c r="O47" t="s">
        <v>111</v>
      </c>
      <c r="P47">
        <v>0</v>
      </c>
      <c r="Q47">
        <v>100</v>
      </c>
      <c r="R47" t="s">
        <v>36</v>
      </c>
      <c r="S47">
        <v>12</v>
      </c>
      <c r="T47">
        <v>12</v>
      </c>
      <c r="U47" t="s">
        <v>112</v>
      </c>
      <c r="V47" t="s">
        <v>37</v>
      </c>
      <c r="W47">
        <v>450</v>
      </c>
      <c r="X47">
        <v>532</v>
      </c>
      <c r="Y47">
        <v>8.3000000000000007</v>
      </c>
      <c r="Z47">
        <v>500</v>
      </c>
      <c r="AA47">
        <v>2000</v>
      </c>
      <c r="AB47">
        <v>50</v>
      </c>
      <c r="AC47" t="s">
        <v>40</v>
      </c>
    </row>
    <row r="48" spans="1:29" x14ac:dyDescent="0.25">
      <c r="A48" t="str">
        <f>"Raman_"&amp;E48&amp;"_"&amp;B48&amp;"_"&amp;AC48&amp;"_"&amp;TEXT(F48, "000")&amp;"_"&amp;TEXT(G48, "000")&amp;"_"&amp;H48&amp;".csv"</f>
        <v>Raman_EG_Pavlovagyrans_raw_002_001_F7.csv</v>
      </c>
      <c r="B48" t="s">
        <v>255</v>
      </c>
      <c r="C48" t="s">
        <v>30</v>
      </c>
      <c r="D48" t="s">
        <v>30</v>
      </c>
      <c r="E48" t="s">
        <v>31</v>
      </c>
      <c r="F48">
        <v>2</v>
      </c>
      <c r="G48">
        <v>1</v>
      </c>
      <c r="H48" t="s">
        <v>103</v>
      </c>
      <c r="I48" t="s">
        <v>256</v>
      </c>
      <c r="J48" t="s">
        <v>34</v>
      </c>
      <c r="L48" t="s">
        <v>30</v>
      </c>
      <c r="M48">
        <v>22</v>
      </c>
      <c r="N48" t="s">
        <v>46</v>
      </c>
      <c r="O48" t="s">
        <v>111</v>
      </c>
      <c r="P48">
        <v>0</v>
      </c>
      <c r="Q48">
        <v>100</v>
      </c>
      <c r="R48" t="s">
        <v>36</v>
      </c>
      <c r="S48">
        <v>12</v>
      </c>
      <c r="T48">
        <v>12</v>
      </c>
      <c r="U48" t="s">
        <v>112</v>
      </c>
      <c r="V48" t="s">
        <v>37</v>
      </c>
      <c r="W48">
        <v>450</v>
      </c>
      <c r="X48">
        <v>532</v>
      </c>
      <c r="Y48">
        <v>8.3000000000000007</v>
      </c>
      <c r="Z48">
        <v>500</v>
      </c>
      <c r="AA48">
        <v>2000</v>
      </c>
      <c r="AB48">
        <v>50</v>
      </c>
      <c r="AC48" t="s">
        <v>40</v>
      </c>
    </row>
    <row r="49" spans="1:29" x14ac:dyDescent="0.25">
      <c r="A49" t="str">
        <f>"Raman_"&amp;E49&amp;"_"&amp;B49&amp;"_"&amp;AC49&amp;"_"&amp;TEXT(F49, "000")&amp;"_"&amp;TEXT(G49, "000")&amp;"_"&amp;H49&amp;".csv"</f>
        <v>Raman_EG_Pavlovagyrans_raw_002_001_F8.csv</v>
      </c>
      <c r="B49" t="s">
        <v>255</v>
      </c>
      <c r="C49" t="s">
        <v>30</v>
      </c>
      <c r="D49" t="s">
        <v>30</v>
      </c>
      <c r="E49" t="s">
        <v>31</v>
      </c>
      <c r="F49">
        <v>2</v>
      </c>
      <c r="G49">
        <v>1</v>
      </c>
      <c r="H49" t="s">
        <v>104</v>
      </c>
      <c r="I49" t="s">
        <v>256</v>
      </c>
      <c r="J49" t="s">
        <v>34</v>
      </c>
      <c r="L49" t="s">
        <v>30</v>
      </c>
      <c r="M49">
        <v>22</v>
      </c>
      <c r="N49" t="s">
        <v>86</v>
      </c>
      <c r="O49" t="s">
        <v>111</v>
      </c>
      <c r="P49">
        <v>0</v>
      </c>
      <c r="Q49">
        <v>100</v>
      </c>
      <c r="R49" t="s">
        <v>36</v>
      </c>
      <c r="S49">
        <v>12</v>
      </c>
      <c r="T49">
        <v>12</v>
      </c>
      <c r="U49" t="s">
        <v>112</v>
      </c>
      <c r="V49" t="s">
        <v>37</v>
      </c>
      <c r="W49">
        <v>450</v>
      </c>
      <c r="X49">
        <v>532</v>
      </c>
      <c r="Y49">
        <v>8.3000000000000007</v>
      </c>
      <c r="Z49">
        <v>500</v>
      </c>
      <c r="AA49">
        <v>2000</v>
      </c>
      <c r="AB49">
        <v>50</v>
      </c>
      <c r="AC49" t="s">
        <v>40</v>
      </c>
    </row>
    <row r="50" spans="1:29" x14ac:dyDescent="0.25">
      <c r="A50" t="str">
        <f>"Raman_"&amp;E50&amp;"_"&amp;B50&amp;"_"&amp;AC50&amp;"_"&amp;TEXT(F50, "000")&amp;"_"&amp;TEXT(G50, "000")&amp;"_"&amp;H50&amp;".csv"</f>
        <v>Raman_EG_Pavlovagyrans_raw_002_002_A1.csv</v>
      </c>
      <c r="B50" t="s">
        <v>255</v>
      </c>
      <c r="C50" t="s">
        <v>30</v>
      </c>
      <c r="D50" t="s">
        <v>30</v>
      </c>
      <c r="E50" t="s">
        <v>31</v>
      </c>
      <c r="F50">
        <v>2</v>
      </c>
      <c r="G50">
        <v>2</v>
      </c>
      <c r="H50" t="s">
        <v>110</v>
      </c>
      <c r="I50" t="s">
        <v>256</v>
      </c>
      <c r="J50" t="s">
        <v>34</v>
      </c>
      <c r="L50" t="s">
        <v>30</v>
      </c>
      <c r="M50">
        <v>22</v>
      </c>
      <c r="N50" t="s">
        <v>48</v>
      </c>
      <c r="O50" t="s">
        <v>173</v>
      </c>
      <c r="P50">
        <v>0</v>
      </c>
      <c r="Q50">
        <v>100</v>
      </c>
      <c r="R50" t="s">
        <v>36</v>
      </c>
      <c r="S50">
        <v>12</v>
      </c>
      <c r="T50">
        <v>12</v>
      </c>
      <c r="U50" t="s">
        <v>112</v>
      </c>
      <c r="V50" t="s">
        <v>37</v>
      </c>
      <c r="W50">
        <v>450</v>
      </c>
      <c r="X50">
        <v>532</v>
      </c>
      <c r="Y50">
        <v>8.3000000000000007</v>
      </c>
      <c r="Z50">
        <v>500</v>
      </c>
      <c r="AA50">
        <v>2000</v>
      </c>
      <c r="AB50">
        <v>50</v>
      </c>
      <c r="AC50" t="s">
        <v>40</v>
      </c>
    </row>
    <row r="51" spans="1:29" x14ac:dyDescent="0.25">
      <c r="A51" t="str">
        <f>"Raman_"&amp;E51&amp;"_"&amp;B51&amp;"_"&amp;AC51&amp;"_"&amp;TEXT(F51, "000")&amp;"_"&amp;TEXT(G51, "000")&amp;"_"&amp;H51&amp;".csv"</f>
        <v>Raman_EG_Pavlovagyrans_raw_002_002_A2.csv</v>
      </c>
      <c r="B51" t="s">
        <v>255</v>
      </c>
      <c r="C51" t="s">
        <v>30</v>
      </c>
      <c r="D51" t="s">
        <v>30</v>
      </c>
      <c r="E51" t="s">
        <v>31</v>
      </c>
      <c r="F51">
        <v>2</v>
      </c>
      <c r="G51">
        <v>2</v>
      </c>
      <c r="H51" t="s">
        <v>114</v>
      </c>
      <c r="I51" t="s">
        <v>256</v>
      </c>
      <c r="J51" t="s">
        <v>34</v>
      </c>
      <c r="L51" t="s">
        <v>30</v>
      </c>
      <c r="M51">
        <v>22</v>
      </c>
      <c r="N51" t="s">
        <v>88</v>
      </c>
      <c r="O51" t="s">
        <v>173</v>
      </c>
      <c r="P51">
        <v>0</v>
      </c>
      <c r="Q51">
        <v>100</v>
      </c>
      <c r="R51" t="s">
        <v>36</v>
      </c>
      <c r="S51">
        <v>12</v>
      </c>
      <c r="T51">
        <v>12</v>
      </c>
      <c r="U51" t="s">
        <v>112</v>
      </c>
      <c r="V51" t="s">
        <v>37</v>
      </c>
      <c r="W51">
        <v>450</v>
      </c>
      <c r="X51">
        <v>532</v>
      </c>
      <c r="Y51">
        <v>8.3000000000000007</v>
      </c>
      <c r="Z51">
        <v>500</v>
      </c>
      <c r="AA51">
        <v>2000</v>
      </c>
      <c r="AB51">
        <v>50</v>
      </c>
      <c r="AC51" t="s">
        <v>40</v>
      </c>
    </row>
    <row r="52" spans="1:29" x14ac:dyDescent="0.25">
      <c r="A52" t="str">
        <f>"Raman_"&amp;E52&amp;"_"&amp;B52&amp;"_"&amp;AC52&amp;"_"&amp;TEXT(F52, "000")&amp;"_"&amp;TEXT(G52, "000")&amp;"_"&amp;H52&amp;".csv"</f>
        <v>Raman_EG_Pavlovagyrans_raw_002_002_A3.csv</v>
      </c>
      <c r="B52" t="s">
        <v>255</v>
      </c>
      <c r="C52" t="s">
        <v>30</v>
      </c>
      <c r="D52" t="s">
        <v>30</v>
      </c>
      <c r="E52" t="s">
        <v>31</v>
      </c>
      <c r="F52">
        <v>2</v>
      </c>
      <c r="G52">
        <v>2</v>
      </c>
      <c r="H52" t="s">
        <v>116</v>
      </c>
      <c r="I52" t="s">
        <v>256</v>
      </c>
      <c r="J52" t="s">
        <v>34</v>
      </c>
      <c r="L52" t="s">
        <v>30</v>
      </c>
      <c r="M52">
        <v>22</v>
      </c>
      <c r="N52" t="s">
        <v>50</v>
      </c>
      <c r="O52" t="s">
        <v>173</v>
      </c>
      <c r="P52">
        <v>0</v>
      </c>
      <c r="Q52">
        <v>100</v>
      </c>
      <c r="R52" t="s">
        <v>36</v>
      </c>
      <c r="S52">
        <v>12</v>
      </c>
      <c r="T52">
        <v>12</v>
      </c>
      <c r="U52" t="s">
        <v>112</v>
      </c>
      <c r="V52" t="s">
        <v>37</v>
      </c>
      <c r="W52">
        <v>450</v>
      </c>
      <c r="X52">
        <v>532</v>
      </c>
      <c r="Y52">
        <v>8.3000000000000007</v>
      </c>
      <c r="Z52">
        <v>500</v>
      </c>
      <c r="AA52">
        <v>2000</v>
      </c>
      <c r="AB52">
        <v>50</v>
      </c>
      <c r="AC52" t="s">
        <v>40</v>
      </c>
    </row>
    <row r="53" spans="1:29" x14ac:dyDescent="0.25">
      <c r="A53" t="str">
        <f>"Raman_"&amp;E53&amp;"_"&amp;B53&amp;"_"&amp;AC53&amp;"_"&amp;TEXT(F53, "000")&amp;"_"&amp;TEXT(G53, "000")&amp;"_"&amp;H53&amp;".csv"</f>
        <v>Raman_EG_Pavlovagyrans_raw_002_002_A4.csv</v>
      </c>
      <c r="B53" t="s">
        <v>255</v>
      </c>
      <c r="C53" t="s">
        <v>30</v>
      </c>
      <c r="D53" t="s">
        <v>30</v>
      </c>
      <c r="E53" t="s">
        <v>31</v>
      </c>
      <c r="F53">
        <v>2</v>
      </c>
      <c r="G53">
        <v>2</v>
      </c>
      <c r="H53" t="s">
        <v>118</v>
      </c>
      <c r="I53" t="s">
        <v>256</v>
      </c>
      <c r="J53" t="s">
        <v>34</v>
      </c>
      <c r="L53" t="s">
        <v>30</v>
      </c>
      <c r="M53">
        <v>22</v>
      </c>
      <c r="N53" t="s">
        <v>90</v>
      </c>
      <c r="O53" t="s">
        <v>173</v>
      </c>
      <c r="P53">
        <v>0</v>
      </c>
      <c r="Q53">
        <v>100</v>
      </c>
      <c r="R53" t="s">
        <v>36</v>
      </c>
      <c r="S53">
        <v>12</v>
      </c>
      <c r="T53">
        <v>12</v>
      </c>
      <c r="U53" t="s">
        <v>112</v>
      </c>
      <c r="V53" t="s">
        <v>37</v>
      </c>
      <c r="W53">
        <v>450</v>
      </c>
      <c r="X53">
        <v>532</v>
      </c>
      <c r="Y53">
        <v>8.3000000000000007</v>
      </c>
      <c r="Z53">
        <v>500</v>
      </c>
      <c r="AA53">
        <v>2000</v>
      </c>
      <c r="AB53">
        <v>50</v>
      </c>
      <c r="AC53" t="s">
        <v>40</v>
      </c>
    </row>
    <row r="54" spans="1:29" x14ac:dyDescent="0.25">
      <c r="A54" t="str">
        <f>"Raman_"&amp;E54&amp;"_"&amp;B54&amp;"_"&amp;AC54&amp;"_"&amp;TEXT(F54, "000")&amp;"_"&amp;TEXT(G54, "000")&amp;"_"&amp;H54&amp;".csv"</f>
        <v>Raman_EG_Pavlovagyrans_raw_002_002_A5.csv</v>
      </c>
      <c r="B54" t="s">
        <v>255</v>
      </c>
      <c r="C54" t="s">
        <v>30</v>
      </c>
      <c r="D54" t="s">
        <v>30</v>
      </c>
      <c r="E54" t="s">
        <v>31</v>
      </c>
      <c r="F54">
        <v>2</v>
      </c>
      <c r="G54">
        <v>2</v>
      </c>
      <c r="H54" t="s">
        <v>120</v>
      </c>
      <c r="I54" t="s">
        <v>256</v>
      </c>
      <c r="J54" t="s">
        <v>34</v>
      </c>
      <c r="L54" t="s">
        <v>30</v>
      </c>
      <c r="M54">
        <v>22</v>
      </c>
      <c r="N54" t="s">
        <v>52</v>
      </c>
      <c r="O54" t="s">
        <v>173</v>
      </c>
      <c r="P54">
        <v>0</v>
      </c>
      <c r="Q54">
        <v>100</v>
      </c>
      <c r="R54" t="s">
        <v>36</v>
      </c>
      <c r="S54">
        <v>12</v>
      </c>
      <c r="T54">
        <v>12</v>
      </c>
      <c r="U54" t="s">
        <v>112</v>
      </c>
      <c r="V54" t="s">
        <v>37</v>
      </c>
      <c r="W54">
        <v>450</v>
      </c>
      <c r="X54">
        <v>532</v>
      </c>
      <c r="Y54">
        <v>8.3000000000000007</v>
      </c>
      <c r="Z54">
        <v>500</v>
      </c>
      <c r="AA54">
        <v>2000</v>
      </c>
      <c r="AB54">
        <v>50</v>
      </c>
      <c r="AC54" t="s">
        <v>40</v>
      </c>
    </row>
    <row r="55" spans="1:29" x14ac:dyDescent="0.25">
      <c r="A55" t="str">
        <f>"Raman_"&amp;E55&amp;"_"&amp;B55&amp;"_"&amp;AC55&amp;"_"&amp;TEXT(F55, "000")&amp;"_"&amp;TEXT(G55, "000")&amp;"_"&amp;H55&amp;".csv"</f>
        <v>Raman_EG_Pavlovagyrans_raw_002_002_A6.csv</v>
      </c>
      <c r="B55" t="s">
        <v>255</v>
      </c>
      <c r="C55" t="s">
        <v>30</v>
      </c>
      <c r="D55" t="s">
        <v>30</v>
      </c>
      <c r="E55" t="s">
        <v>31</v>
      </c>
      <c r="F55">
        <v>2</v>
      </c>
      <c r="G55">
        <v>2</v>
      </c>
      <c r="H55" t="s">
        <v>122</v>
      </c>
      <c r="I55" t="s">
        <v>256</v>
      </c>
      <c r="J55" t="s">
        <v>34</v>
      </c>
      <c r="L55" t="s">
        <v>30</v>
      </c>
      <c r="M55">
        <v>22</v>
      </c>
      <c r="N55" t="s">
        <v>92</v>
      </c>
      <c r="O55" t="s">
        <v>173</v>
      </c>
      <c r="P55">
        <v>0</v>
      </c>
      <c r="Q55">
        <v>100</v>
      </c>
      <c r="R55" t="s">
        <v>36</v>
      </c>
      <c r="S55">
        <v>12</v>
      </c>
      <c r="T55">
        <v>12</v>
      </c>
      <c r="U55" t="s">
        <v>112</v>
      </c>
      <c r="V55" t="s">
        <v>37</v>
      </c>
      <c r="W55">
        <v>450</v>
      </c>
      <c r="X55">
        <v>532</v>
      </c>
      <c r="Y55">
        <v>8.3000000000000007</v>
      </c>
      <c r="Z55">
        <v>500</v>
      </c>
      <c r="AA55">
        <v>2000</v>
      </c>
      <c r="AB55">
        <v>50</v>
      </c>
      <c r="AC55" t="s">
        <v>40</v>
      </c>
    </row>
    <row r="56" spans="1:29" x14ac:dyDescent="0.25">
      <c r="A56" t="str">
        <f>"Raman_"&amp;E56&amp;"_"&amp;B56&amp;"_"&amp;AC56&amp;"_"&amp;TEXT(F56, "000")&amp;"_"&amp;TEXT(G56, "000")&amp;"_"&amp;H56&amp;".csv"</f>
        <v>Raman_EG_Pavlovagyrans_raw_002_002_A7.csv</v>
      </c>
      <c r="B56" t="s">
        <v>255</v>
      </c>
      <c r="C56" t="s">
        <v>30</v>
      </c>
      <c r="D56" t="s">
        <v>30</v>
      </c>
      <c r="E56" t="s">
        <v>31</v>
      </c>
      <c r="F56">
        <v>2</v>
      </c>
      <c r="G56">
        <v>2</v>
      </c>
      <c r="H56" t="s">
        <v>124</v>
      </c>
      <c r="I56" t="s">
        <v>256</v>
      </c>
      <c r="J56" t="s">
        <v>34</v>
      </c>
      <c r="L56" t="s">
        <v>30</v>
      </c>
      <c r="M56">
        <v>22</v>
      </c>
      <c r="N56" t="s">
        <v>54</v>
      </c>
      <c r="O56" t="s">
        <v>173</v>
      </c>
      <c r="P56">
        <v>0</v>
      </c>
      <c r="Q56">
        <v>100</v>
      </c>
      <c r="R56" t="s">
        <v>36</v>
      </c>
      <c r="S56">
        <v>12</v>
      </c>
      <c r="T56">
        <v>12</v>
      </c>
      <c r="U56" t="s">
        <v>112</v>
      </c>
      <c r="V56" t="s">
        <v>37</v>
      </c>
      <c r="W56">
        <v>450</v>
      </c>
      <c r="X56">
        <v>532</v>
      </c>
      <c r="Y56">
        <v>8.3000000000000007</v>
      </c>
      <c r="Z56">
        <v>500</v>
      </c>
      <c r="AA56">
        <v>2000</v>
      </c>
      <c r="AB56">
        <v>50</v>
      </c>
      <c r="AC56" t="s">
        <v>40</v>
      </c>
    </row>
    <row r="57" spans="1:29" x14ac:dyDescent="0.25">
      <c r="A57" t="str">
        <f>"Raman_"&amp;E57&amp;"_"&amp;B57&amp;"_"&amp;AC57&amp;"_"&amp;TEXT(F57, "000")&amp;"_"&amp;TEXT(G57, "000")&amp;"_"&amp;H57&amp;".csv"</f>
        <v>Raman_EG_Pavlovagyrans_raw_002_002_A8.csv</v>
      </c>
      <c r="B57" t="s">
        <v>255</v>
      </c>
      <c r="C57" t="s">
        <v>30</v>
      </c>
      <c r="D57" t="s">
        <v>30</v>
      </c>
      <c r="E57" t="s">
        <v>31</v>
      </c>
      <c r="F57">
        <v>2</v>
      </c>
      <c r="G57">
        <v>2</v>
      </c>
      <c r="H57" t="s">
        <v>126</v>
      </c>
      <c r="I57" t="s">
        <v>256</v>
      </c>
      <c r="J57" t="s">
        <v>34</v>
      </c>
      <c r="L57" t="s">
        <v>30</v>
      </c>
      <c r="M57">
        <v>22</v>
      </c>
      <c r="N57" t="s">
        <v>94</v>
      </c>
      <c r="O57" t="s">
        <v>173</v>
      </c>
      <c r="P57">
        <v>0</v>
      </c>
      <c r="Q57">
        <v>100</v>
      </c>
      <c r="R57" t="s">
        <v>36</v>
      </c>
      <c r="S57">
        <v>12</v>
      </c>
      <c r="T57">
        <v>12</v>
      </c>
      <c r="U57" t="s">
        <v>112</v>
      </c>
      <c r="V57" t="s">
        <v>37</v>
      </c>
      <c r="W57">
        <v>450</v>
      </c>
      <c r="X57">
        <v>532</v>
      </c>
      <c r="Y57">
        <v>8.3000000000000007</v>
      </c>
      <c r="Z57">
        <v>500</v>
      </c>
      <c r="AA57">
        <v>2000</v>
      </c>
      <c r="AB57">
        <v>50</v>
      </c>
      <c r="AC57" t="s">
        <v>40</v>
      </c>
    </row>
    <row r="58" spans="1:29" x14ac:dyDescent="0.25">
      <c r="A58" t="str">
        <f>"Raman_"&amp;E58&amp;"_"&amp;B58&amp;"_"&amp;AC58&amp;"_"&amp;TEXT(F58, "000")&amp;"_"&amp;TEXT(G58, "000")&amp;"_"&amp;H58&amp;".csv"</f>
        <v>Raman_EG_Pavlovagyrans_raw_002_002_A9.csv</v>
      </c>
      <c r="B58" t="s">
        <v>255</v>
      </c>
      <c r="C58" t="s">
        <v>30</v>
      </c>
      <c r="D58" t="s">
        <v>30</v>
      </c>
      <c r="E58" t="s">
        <v>31</v>
      </c>
      <c r="F58">
        <v>2</v>
      </c>
      <c r="G58">
        <v>2</v>
      </c>
      <c r="H58" t="s">
        <v>182</v>
      </c>
      <c r="I58" t="s">
        <v>256</v>
      </c>
      <c r="J58" t="s">
        <v>34</v>
      </c>
      <c r="L58" t="s">
        <v>30</v>
      </c>
      <c r="M58">
        <v>22</v>
      </c>
      <c r="N58" t="s">
        <v>56</v>
      </c>
      <c r="O58" t="s">
        <v>173</v>
      </c>
      <c r="P58">
        <v>0</v>
      </c>
      <c r="Q58">
        <v>100</v>
      </c>
      <c r="R58" t="s">
        <v>36</v>
      </c>
      <c r="S58">
        <v>12</v>
      </c>
      <c r="T58">
        <v>12</v>
      </c>
      <c r="U58" t="s">
        <v>112</v>
      </c>
      <c r="V58" t="s">
        <v>37</v>
      </c>
      <c r="W58">
        <v>450</v>
      </c>
      <c r="X58">
        <v>532</v>
      </c>
      <c r="Y58">
        <v>8.3000000000000007</v>
      </c>
      <c r="Z58">
        <v>500</v>
      </c>
      <c r="AA58">
        <v>2000</v>
      </c>
      <c r="AB58">
        <v>50</v>
      </c>
      <c r="AC58" t="s">
        <v>40</v>
      </c>
    </row>
    <row r="59" spans="1:29" x14ac:dyDescent="0.25">
      <c r="A59" t="str">
        <f>"Raman_"&amp;E59&amp;"_"&amp;B59&amp;"_"&amp;AC59&amp;"_"&amp;TEXT(F59, "000")&amp;"_"&amp;TEXT(G59, "000")&amp;"_"&amp;H59&amp;".csv"</f>
        <v>Raman_EG_Pavlovagyrans_raw_002_002_A10.csv</v>
      </c>
      <c r="B59" t="s">
        <v>255</v>
      </c>
      <c r="C59" t="s">
        <v>30</v>
      </c>
      <c r="D59" t="s">
        <v>30</v>
      </c>
      <c r="E59" t="s">
        <v>31</v>
      </c>
      <c r="F59">
        <v>2</v>
      </c>
      <c r="G59">
        <v>2</v>
      </c>
      <c r="H59" t="s">
        <v>184</v>
      </c>
      <c r="I59" t="s">
        <v>256</v>
      </c>
      <c r="J59" t="s">
        <v>34</v>
      </c>
      <c r="L59" t="s">
        <v>30</v>
      </c>
      <c r="M59">
        <v>22</v>
      </c>
      <c r="N59" t="s">
        <v>96</v>
      </c>
      <c r="O59" t="s">
        <v>173</v>
      </c>
      <c r="P59">
        <v>0</v>
      </c>
      <c r="Q59">
        <v>100</v>
      </c>
      <c r="R59" t="s">
        <v>36</v>
      </c>
      <c r="S59">
        <v>12</v>
      </c>
      <c r="T59">
        <v>12</v>
      </c>
      <c r="U59" t="s">
        <v>112</v>
      </c>
      <c r="V59" t="s">
        <v>37</v>
      </c>
      <c r="W59">
        <v>450</v>
      </c>
      <c r="X59">
        <v>532</v>
      </c>
      <c r="Y59">
        <v>8.3000000000000007</v>
      </c>
      <c r="Z59">
        <v>500</v>
      </c>
      <c r="AA59">
        <v>2000</v>
      </c>
      <c r="AB59">
        <v>50</v>
      </c>
      <c r="AC59" t="s">
        <v>40</v>
      </c>
    </row>
    <row r="60" spans="1:29" x14ac:dyDescent="0.25">
      <c r="A60" t="str">
        <f>"Raman_"&amp;E60&amp;"_"&amp;B60&amp;"_"&amp;AC60&amp;"_"&amp;TEXT(F60, "000")&amp;"_"&amp;TEXT(G60, "000")&amp;"_"&amp;H60&amp;".csv"</f>
        <v>Raman_EG_Pavlovagyrans_raw_002_002_A11.csv</v>
      </c>
      <c r="B60" t="s">
        <v>255</v>
      </c>
      <c r="C60" t="s">
        <v>30</v>
      </c>
      <c r="D60" t="s">
        <v>30</v>
      </c>
      <c r="E60" t="s">
        <v>31</v>
      </c>
      <c r="F60">
        <v>2</v>
      </c>
      <c r="G60">
        <v>2</v>
      </c>
      <c r="H60" t="s">
        <v>186</v>
      </c>
      <c r="I60" t="s">
        <v>256</v>
      </c>
      <c r="J60" t="s">
        <v>34</v>
      </c>
      <c r="L60" t="s">
        <v>30</v>
      </c>
      <c r="M60">
        <v>22</v>
      </c>
      <c r="N60" t="s">
        <v>58</v>
      </c>
      <c r="O60" t="s">
        <v>173</v>
      </c>
      <c r="P60">
        <v>0</v>
      </c>
      <c r="Q60">
        <v>100</v>
      </c>
      <c r="R60" t="s">
        <v>36</v>
      </c>
      <c r="S60">
        <v>12</v>
      </c>
      <c r="T60">
        <v>12</v>
      </c>
      <c r="U60" t="s">
        <v>112</v>
      </c>
      <c r="V60" t="s">
        <v>37</v>
      </c>
      <c r="W60">
        <v>450</v>
      </c>
      <c r="X60">
        <v>532</v>
      </c>
      <c r="Y60">
        <v>8.3000000000000007</v>
      </c>
      <c r="Z60">
        <v>500</v>
      </c>
      <c r="AA60">
        <v>2000</v>
      </c>
      <c r="AB60">
        <v>50</v>
      </c>
      <c r="AC60" t="s">
        <v>40</v>
      </c>
    </row>
    <row r="61" spans="1:29" x14ac:dyDescent="0.25">
      <c r="A61" t="str">
        <f>"Raman_"&amp;E61&amp;"_"&amp;B61&amp;"_"&amp;AC61&amp;"_"&amp;TEXT(F61, "000")&amp;"_"&amp;TEXT(G61, "000")&amp;"_"&amp;H61&amp;".csv"</f>
        <v>Raman_EG_Pavlovagyrans_raw_002_002_B1.csv</v>
      </c>
      <c r="B61" t="s">
        <v>255</v>
      </c>
      <c r="C61" t="s">
        <v>30</v>
      </c>
      <c r="D61" t="s">
        <v>30</v>
      </c>
      <c r="E61" t="s">
        <v>31</v>
      </c>
      <c r="F61">
        <v>2</v>
      </c>
      <c r="G61">
        <v>2</v>
      </c>
      <c r="H61" t="s">
        <v>128</v>
      </c>
      <c r="I61" t="s">
        <v>256</v>
      </c>
      <c r="J61" t="s">
        <v>34</v>
      </c>
      <c r="L61" t="s">
        <v>30</v>
      </c>
      <c r="M61">
        <v>22</v>
      </c>
      <c r="N61" t="s">
        <v>48</v>
      </c>
      <c r="O61" t="s">
        <v>173</v>
      </c>
      <c r="P61">
        <v>0</v>
      </c>
      <c r="Q61">
        <v>100</v>
      </c>
      <c r="R61" t="s">
        <v>36</v>
      </c>
      <c r="S61">
        <v>12</v>
      </c>
      <c r="T61">
        <v>12</v>
      </c>
      <c r="U61" t="s">
        <v>112</v>
      </c>
      <c r="V61" t="s">
        <v>37</v>
      </c>
      <c r="W61">
        <v>450</v>
      </c>
      <c r="X61">
        <v>532</v>
      </c>
      <c r="Y61">
        <v>8.3000000000000007</v>
      </c>
      <c r="Z61">
        <v>500</v>
      </c>
      <c r="AA61">
        <v>2000</v>
      </c>
      <c r="AB61">
        <v>50</v>
      </c>
      <c r="AC61" t="s">
        <v>40</v>
      </c>
    </row>
    <row r="62" spans="1:29" x14ac:dyDescent="0.25">
      <c r="A62" t="str">
        <f>"Raman_"&amp;E62&amp;"_"&amp;B62&amp;"_"&amp;AC62&amp;"_"&amp;TEXT(F62, "000")&amp;"_"&amp;TEXT(G62, "000")&amp;"_"&amp;H62&amp;".csv"</f>
        <v>Raman_EG_Pavlovagyrans_raw_002_002_B2.csv</v>
      </c>
      <c r="B62" t="s">
        <v>255</v>
      </c>
      <c r="C62" t="s">
        <v>30</v>
      </c>
      <c r="D62" t="s">
        <v>30</v>
      </c>
      <c r="E62" t="s">
        <v>31</v>
      </c>
      <c r="F62">
        <v>2</v>
      </c>
      <c r="G62">
        <v>2</v>
      </c>
      <c r="H62" t="s">
        <v>32</v>
      </c>
      <c r="I62" t="s">
        <v>256</v>
      </c>
      <c r="J62" t="s">
        <v>34</v>
      </c>
      <c r="L62" t="s">
        <v>30</v>
      </c>
      <c r="M62">
        <v>22</v>
      </c>
      <c r="N62" t="s">
        <v>88</v>
      </c>
      <c r="O62" t="s">
        <v>173</v>
      </c>
      <c r="P62">
        <v>0</v>
      </c>
      <c r="Q62">
        <v>100</v>
      </c>
      <c r="R62" t="s">
        <v>36</v>
      </c>
      <c r="S62">
        <v>12</v>
      </c>
      <c r="T62">
        <v>12</v>
      </c>
      <c r="U62" t="s">
        <v>112</v>
      </c>
      <c r="V62" t="s">
        <v>37</v>
      </c>
      <c r="W62">
        <v>450</v>
      </c>
      <c r="X62">
        <v>532</v>
      </c>
      <c r="Y62">
        <v>8.3000000000000007</v>
      </c>
      <c r="Z62">
        <v>500</v>
      </c>
      <c r="AA62">
        <v>2000</v>
      </c>
      <c r="AB62">
        <v>50</v>
      </c>
      <c r="AC62" t="s">
        <v>40</v>
      </c>
    </row>
    <row r="63" spans="1:29" x14ac:dyDescent="0.25">
      <c r="A63" t="str">
        <f>"Raman_"&amp;E63&amp;"_"&amp;B63&amp;"_"&amp;AC63&amp;"_"&amp;TEXT(F63, "000")&amp;"_"&amp;TEXT(G63, "000")&amp;"_"&amp;H63&amp;".csv"</f>
        <v>Raman_EG_Pavlovagyrans_raw_002_002_B3.csv</v>
      </c>
      <c r="B63" t="s">
        <v>255</v>
      </c>
      <c r="C63" t="s">
        <v>30</v>
      </c>
      <c r="D63" t="s">
        <v>30</v>
      </c>
      <c r="E63" t="s">
        <v>31</v>
      </c>
      <c r="F63">
        <v>2</v>
      </c>
      <c r="G63">
        <v>2</v>
      </c>
      <c r="H63" t="s">
        <v>41</v>
      </c>
      <c r="I63" t="s">
        <v>256</v>
      </c>
      <c r="J63" t="s">
        <v>34</v>
      </c>
      <c r="L63" t="s">
        <v>30</v>
      </c>
      <c r="M63">
        <v>22</v>
      </c>
      <c r="N63" t="s">
        <v>50</v>
      </c>
      <c r="O63" t="s">
        <v>173</v>
      </c>
      <c r="P63">
        <v>0</v>
      </c>
      <c r="Q63">
        <v>100</v>
      </c>
      <c r="R63" t="s">
        <v>36</v>
      </c>
      <c r="S63">
        <v>12</v>
      </c>
      <c r="T63">
        <v>12</v>
      </c>
      <c r="U63" t="s">
        <v>112</v>
      </c>
      <c r="V63" t="s">
        <v>37</v>
      </c>
      <c r="W63">
        <v>450</v>
      </c>
      <c r="X63">
        <v>532</v>
      </c>
      <c r="Y63">
        <v>8.3000000000000007</v>
      </c>
      <c r="Z63">
        <v>500</v>
      </c>
      <c r="AA63">
        <v>2000</v>
      </c>
      <c r="AB63">
        <v>50</v>
      </c>
      <c r="AC63" t="s">
        <v>40</v>
      </c>
    </row>
    <row r="64" spans="1:29" x14ac:dyDescent="0.25">
      <c r="A64" t="str">
        <f>"Raman_"&amp;E64&amp;"_"&amp;B64&amp;"_"&amp;AC64&amp;"_"&amp;TEXT(F64, "000")&amp;"_"&amp;TEXT(G64, "000")&amp;"_"&amp;H64&amp;".csv"</f>
        <v>Raman_EG_Pavlovagyrans_raw_002_002_B4.csv</v>
      </c>
      <c r="B64" t="s">
        <v>255</v>
      </c>
      <c r="C64" t="s">
        <v>30</v>
      </c>
      <c r="D64" t="s">
        <v>30</v>
      </c>
      <c r="E64" t="s">
        <v>31</v>
      </c>
      <c r="F64">
        <v>2</v>
      </c>
      <c r="G64">
        <v>2</v>
      </c>
      <c r="H64" t="s">
        <v>43</v>
      </c>
      <c r="I64" t="s">
        <v>256</v>
      </c>
      <c r="J64" t="s">
        <v>34</v>
      </c>
      <c r="L64" t="s">
        <v>30</v>
      </c>
      <c r="M64">
        <v>22</v>
      </c>
      <c r="N64" t="s">
        <v>90</v>
      </c>
      <c r="O64" t="s">
        <v>173</v>
      </c>
      <c r="P64">
        <v>0</v>
      </c>
      <c r="Q64">
        <v>100</v>
      </c>
      <c r="R64" t="s">
        <v>36</v>
      </c>
      <c r="S64">
        <v>12</v>
      </c>
      <c r="T64">
        <v>12</v>
      </c>
      <c r="U64" t="s">
        <v>112</v>
      </c>
      <c r="V64" t="s">
        <v>37</v>
      </c>
      <c r="W64">
        <v>450</v>
      </c>
      <c r="X64">
        <v>532</v>
      </c>
      <c r="Y64">
        <v>8.3000000000000007</v>
      </c>
      <c r="Z64">
        <v>500</v>
      </c>
      <c r="AA64">
        <v>2000</v>
      </c>
      <c r="AB64">
        <v>50</v>
      </c>
      <c r="AC64" t="s">
        <v>40</v>
      </c>
    </row>
    <row r="65" spans="1:29" x14ac:dyDescent="0.25">
      <c r="A65" t="str">
        <f>"Raman_"&amp;E65&amp;"_"&amp;B65&amp;"_"&amp;AC65&amp;"_"&amp;TEXT(F65, "000")&amp;"_"&amp;TEXT(G65, "000")&amp;"_"&amp;H65&amp;".csv"</f>
        <v>Raman_EG_Pavlovagyrans_raw_002_002_B5.csv</v>
      </c>
      <c r="B65" t="s">
        <v>255</v>
      </c>
      <c r="C65" t="s">
        <v>30</v>
      </c>
      <c r="D65" t="s">
        <v>30</v>
      </c>
      <c r="E65" t="s">
        <v>31</v>
      </c>
      <c r="F65">
        <v>2</v>
      </c>
      <c r="G65">
        <v>2</v>
      </c>
      <c r="H65" t="s">
        <v>45</v>
      </c>
      <c r="I65" t="s">
        <v>256</v>
      </c>
      <c r="J65" t="s">
        <v>34</v>
      </c>
      <c r="L65" t="s">
        <v>30</v>
      </c>
      <c r="M65">
        <v>22</v>
      </c>
      <c r="N65" t="s">
        <v>52</v>
      </c>
      <c r="O65" t="s">
        <v>173</v>
      </c>
      <c r="P65">
        <v>0</v>
      </c>
      <c r="Q65">
        <v>100</v>
      </c>
      <c r="R65" t="s">
        <v>36</v>
      </c>
      <c r="S65">
        <v>12</v>
      </c>
      <c r="T65">
        <v>12</v>
      </c>
      <c r="U65" t="s">
        <v>112</v>
      </c>
      <c r="V65" t="s">
        <v>37</v>
      </c>
      <c r="W65">
        <v>450</v>
      </c>
      <c r="X65">
        <v>532</v>
      </c>
      <c r="Y65">
        <v>8.3000000000000007</v>
      </c>
      <c r="Z65">
        <v>500</v>
      </c>
      <c r="AA65">
        <v>2000</v>
      </c>
      <c r="AB65">
        <v>50</v>
      </c>
      <c r="AC65" t="s">
        <v>40</v>
      </c>
    </row>
    <row r="66" spans="1:29" x14ac:dyDescent="0.25">
      <c r="A66" t="str">
        <f>"Raman_"&amp;E66&amp;"_"&amp;B66&amp;"_"&amp;AC66&amp;"_"&amp;TEXT(F66, "000")&amp;"_"&amp;TEXT(G66, "000")&amp;"_"&amp;H66&amp;".csv"</f>
        <v>Raman_EG_Pavlovagyrans_raw_002_002_B6.csv</v>
      </c>
      <c r="B66" t="s">
        <v>255</v>
      </c>
      <c r="C66" t="s">
        <v>30</v>
      </c>
      <c r="D66" t="s">
        <v>30</v>
      </c>
      <c r="E66" t="s">
        <v>31</v>
      </c>
      <c r="F66">
        <v>2</v>
      </c>
      <c r="G66">
        <v>2</v>
      </c>
      <c r="H66" t="s">
        <v>47</v>
      </c>
      <c r="I66" t="s">
        <v>256</v>
      </c>
      <c r="J66" t="s">
        <v>34</v>
      </c>
      <c r="L66" t="s">
        <v>30</v>
      </c>
      <c r="M66">
        <v>22</v>
      </c>
      <c r="N66" t="s">
        <v>92</v>
      </c>
      <c r="O66" t="s">
        <v>173</v>
      </c>
      <c r="P66">
        <v>0</v>
      </c>
      <c r="Q66">
        <v>100</v>
      </c>
      <c r="R66" t="s">
        <v>36</v>
      </c>
      <c r="S66">
        <v>12</v>
      </c>
      <c r="T66">
        <v>12</v>
      </c>
      <c r="U66" t="s">
        <v>112</v>
      </c>
      <c r="V66" t="s">
        <v>37</v>
      </c>
      <c r="W66">
        <v>450</v>
      </c>
      <c r="X66">
        <v>532</v>
      </c>
      <c r="Y66">
        <v>8.3000000000000007</v>
      </c>
      <c r="Z66">
        <v>500</v>
      </c>
      <c r="AA66">
        <v>2000</v>
      </c>
      <c r="AB66">
        <v>50</v>
      </c>
      <c r="AC66" t="s">
        <v>40</v>
      </c>
    </row>
    <row r="67" spans="1:29" x14ac:dyDescent="0.25">
      <c r="A67" t="str">
        <f>"Raman_"&amp;E67&amp;"_"&amp;B67&amp;"_"&amp;AC67&amp;"_"&amp;TEXT(F67, "000")&amp;"_"&amp;TEXT(G67, "000")&amp;"_"&amp;H67&amp;".csv"</f>
        <v>Raman_EG_Pavlovagyrans_raw_002_002_B7.csv</v>
      </c>
      <c r="B67" t="s">
        <v>255</v>
      </c>
      <c r="C67" t="s">
        <v>30</v>
      </c>
      <c r="D67" t="s">
        <v>30</v>
      </c>
      <c r="E67" t="s">
        <v>31</v>
      </c>
      <c r="F67">
        <v>2</v>
      </c>
      <c r="G67">
        <v>2</v>
      </c>
      <c r="H67" t="s">
        <v>49</v>
      </c>
      <c r="I67" t="s">
        <v>256</v>
      </c>
      <c r="J67" t="s">
        <v>34</v>
      </c>
      <c r="L67" t="s">
        <v>30</v>
      </c>
      <c r="M67">
        <v>22</v>
      </c>
      <c r="N67" t="s">
        <v>54</v>
      </c>
      <c r="O67" t="s">
        <v>173</v>
      </c>
      <c r="P67">
        <v>0</v>
      </c>
      <c r="Q67">
        <v>100</v>
      </c>
      <c r="R67" t="s">
        <v>36</v>
      </c>
      <c r="S67">
        <v>12</v>
      </c>
      <c r="T67">
        <v>12</v>
      </c>
      <c r="U67" t="s">
        <v>112</v>
      </c>
      <c r="V67" t="s">
        <v>37</v>
      </c>
      <c r="W67">
        <v>450</v>
      </c>
      <c r="X67">
        <v>532</v>
      </c>
      <c r="Y67">
        <v>8.3000000000000007</v>
      </c>
      <c r="Z67">
        <v>500</v>
      </c>
      <c r="AA67">
        <v>2000</v>
      </c>
      <c r="AB67">
        <v>50</v>
      </c>
      <c r="AC67" t="s">
        <v>40</v>
      </c>
    </row>
    <row r="68" spans="1:29" x14ac:dyDescent="0.25">
      <c r="A68" t="str">
        <f>"Raman_"&amp;E68&amp;"_"&amp;B68&amp;"_"&amp;AC68&amp;"_"&amp;TEXT(F68, "000")&amp;"_"&amp;TEXT(G68, "000")&amp;"_"&amp;H68&amp;".csv"</f>
        <v>Raman_EG_Pavlovagyrans_raw_002_002_B8.csv</v>
      </c>
      <c r="B68" t="s">
        <v>255</v>
      </c>
      <c r="C68" t="s">
        <v>30</v>
      </c>
      <c r="D68" t="s">
        <v>30</v>
      </c>
      <c r="E68" t="s">
        <v>31</v>
      </c>
      <c r="F68">
        <v>2</v>
      </c>
      <c r="G68">
        <v>2</v>
      </c>
      <c r="H68" t="s">
        <v>51</v>
      </c>
      <c r="I68" t="s">
        <v>256</v>
      </c>
      <c r="J68" t="s">
        <v>34</v>
      </c>
      <c r="L68" t="s">
        <v>30</v>
      </c>
      <c r="M68">
        <v>22</v>
      </c>
      <c r="N68" t="s">
        <v>94</v>
      </c>
      <c r="O68" t="s">
        <v>173</v>
      </c>
      <c r="P68">
        <v>0</v>
      </c>
      <c r="Q68">
        <v>100</v>
      </c>
      <c r="R68" t="s">
        <v>36</v>
      </c>
      <c r="S68">
        <v>12</v>
      </c>
      <c r="T68">
        <v>12</v>
      </c>
      <c r="U68" t="s">
        <v>112</v>
      </c>
      <c r="V68" t="s">
        <v>37</v>
      </c>
      <c r="W68">
        <v>450</v>
      </c>
      <c r="X68">
        <v>532</v>
      </c>
      <c r="Y68">
        <v>8.3000000000000007</v>
      </c>
      <c r="Z68">
        <v>500</v>
      </c>
      <c r="AA68">
        <v>2000</v>
      </c>
      <c r="AB68">
        <v>50</v>
      </c>
      <c r="AC68" t="s">
        <v>40</v>
      </c>
    </row>
    <row r="69" spans="1:29" x14ac:dyDescent="0.25">
      <c r="A69" t="str">
        <f>"Raman_"&amp;E69&amp;"_"&amp;B69&amp;"_"&amp;AC69&amp;"_"&amp;TEXT(F69, "000")&amp;"_"&amp;TEXT(G69, "000")&amp;"_"&amp;H69&amp;".csv"</f>
        <v>Raman_EG_Pavlovagyrans_raw_002_002_B9.csv</v>
      </c>
      <c r="B69" t="s">
        <v>255</v>
      </c>
      <c r="C69" t="s">
        <v>30</v>
      </c>
      <c r="D69" t="s">
        <v>30</v>
      </c>
      <c r="E69" t="s">
        <v>31</v>
      </c>
      <c r="F69">
        <v>2</v>
      </c>
      <c r="G69">
        <v>2</v>
      </c>
      <c r="H69" t="s">
        <v>53</v>
      </c>
      <c r="I69" t="s">
        <v>256</v>
      </c>
      <c r="J69" t="s">
        <v>34</v>
      </c>
      <c r="L69" t="s">
        <v>30</v>
      </c>
      <c r="M69">
        <v>22</v>
      </c>
      <c r="N69" t="s">
        <v>56</v>
      </c>
      <c r="O69" t="s">
        <v>173</v>
      </c>
      <c r="P69">
        <v>0</v>
      </c>
      <c r="Q69">
        <v>100</v>
      </c>
      <c r="R69" t="s">
        <v>36</v>
      </c>
      <c r="S69">
        <v>12</v>
      </c>
      <c r="T69">
        <v>12</v>
      </c>
      <c r="U69" t="s">
        <v>112</v>
      </c>
      <c r="V69" t="s">
        <v>37</v>
      </c>
      <c r="W69">
        <v>450</v>
      </c>
      <c r="X69">
        <v>532</v>
      </c>
      <c r="Y69">
        <v>8.3000000000000007</v>
      </c>
      <c r="Z69">
        <v>500</v>
      </c>
      <c r="AA69">
        <v>2000</v>
      </c>
      <c r="AB69">
        <v>50</v>
      </c>
      <c r="AC69" t="s">
        <v>40</v>
      </c>
    </row>
    <row r="70" spans="1:29" x14ac:dyDescent="0.25">
      <c r="A70" t="str">
        <f>"Raman_"&amp;E70&amp;"_"&amp;B70&amp;"_"&amp;AC70&amp;"_"&amp;TEXT(F70, "000")&amp;"_"&amp;TEXT(G70, "000")&amp;"_"&amp;H70&amp;".csv"</f>
        <v>Raman_EG_Pavlovagyrans_raw_002_002_B10.csv</v>
      </c>
      <c r="B70" t="s">
        <v>255</v>
      </c>
      <c r="C70" t="s">
        <v>30</v>
      </c>
      <c r="D70" t="s">
        <v>30</v>
      </c>
      <c r="E70" t="s">
        <v>31</v>
      </c>
      <c r="F70">
        <v>2</v>
      </c>
      <c r="G70">
        <v>2</v>
      </c>
      <c r="H70" t="s">
        <v>55</v>
      </c>
      <c r="I70" t="s">
        <v>256</v>
      </c>
      <c r="J70" t="s">
        <v>34</v>
      </c>
      <c r="L70" t="s">
        <v>30</v>
      </c>
      <c r="M70">
        <v>22</v>
      </c>
      <c r="N70" t="s">
        <v>96</v>
      </c>
      <c r="O70" t="s">
        <v>173</v>
      </c>
      <c r="P70">
        <v>0</v>
      </c>
      <c r="Q70">
        <v>100</v>
      </c>
      <c r="R70" t="s">
        <v>36</v>
      </c>
      <c r="S70">
        <v>12</v>
      </c>
      <c r="T70">
        <v>12</v>
      </c>
      <c r="U70" t="s">
        <v>112</v>
      </c>
      <c r="V70" t="s">
        <v>37</v>
      </c>
      <c r="W70">
        <v>450</v>
      </c>
      <c r="X70">
        <v>532</v>
      </c>
      <c r="Y70">
        <v>8.3000000000000007</v>
      </c>
      <c r="Z70">
        <v>500</v>
      </c>
      <c r="AA70">
        <v>2000</v>
      </c>
      <c r="AB70">
        <v>50</v>
      </c>
      <c r="AC70" t="s">
        <v>40</v>
      </c>
    </row>
    <row r="71" spans="1:29" x14ac:dyDescent="0.25">
      <c r="A71" t="str">
        <f>"Raman_"&amp;E71&amp;"_"&amp;B71&amp;"_"&amp;AC71&amp;"_"&amp;TEXT(F71, "000")&amp;"_"&amp;TEXT(G71, "000")&amp;"_"&amp;H71&amp;".csv"</f>
        <v>Raman_EG_Pavlovagyrans_raw_002_002_B11.csv</v>
      </c>
      <c r="B71" t="s">
        <v>255</v>
      </c>
      <c r="C71" t="s">
        <v>30</v>
      </c>
      <c r="D71" t="s">
        <v>30</v>
      </c>
      <c r="E71" t="s">
        <v>31</v>
      </c>
      <c r="F71">
        <v>2</v>
      </c>
      <c r="G71">
        <v>2</v>
      </c>
      <c r="H71" t="s">
        <v>57</v>
      </c>
      <c r="I71" t="s">
        <v>256</v>
      </c>
      <c r="J71" t="s">
        <v>34</v>
      </c>
      <c r="L71" t="s">
        <v>30</v>
      </c>
      <c r="M71">
        <v>22</v>
      </c>
      <c r="N71" t="s">
        <v>58</v>
      </c>
      <c r="O71" t="s">
        <v>173</v>
      </c>
      <c r="P71">
        <v>0</v>
      </c>
      <c r="Q71">
        <v>100</v>
      </c>
      <c r="R71" t="s">
        <v>36</v>
      </c>
      <c r="S71">
        <v>12</v>
      </c>
      <c r="T71">
        <v>12</v>
      </c>
      <c r="U71" t="s">
        <v>112</v>
      </c>
      <c r="V71" t="s">
        <v>37</v>
      </c>
      <c r="W71">
        <v>450</v>
      </c>
      <c r="X71">
        <v>532</v>
      </c>
      <c r="Y71">
        <v>8.3000000000000007</v>
      </c>
      <c r="Z71">
        <v>500</v>
      </c>
      <c r="AA71">
        <v>2000</v>
      </c>
      <c r="AB71">
        <v>50</v>
      </c>
      <c r="AC71" t="s">
        <v>40</v>
      </c>
    </row>
    <row r="72" spans="1:29" x14ac:dyDescent="0.25">
      <c r="A72" t="str">
        <f>"Raman_"&amp;E72&amp;"_"&amp;B72&amp;"_"&amp;AC72&amp;"_"&amp;TEXT(F72, "000")&amp;"_"&amp;TEXT(G72, "000")&amp;"_"&amp;H72&amp;".csv"</f>
        <v>Raman_EG_Pavlovagyrans_raw_002_002_C1.csv</v>
      </c>
      <c r="B72" t="s">
        <v>255</v>
      </c>
      <c r="C72" t="s">
        <v>30</v>
      </c>
      <c r="D72" t="s">
        <v>30</v>
      </c>
      <c r="E72" t="s">
        <v>31</v>
      </c>
      <c r="F72">
        <v>2</v>
      </c>
      <c r="G72">
        <v>2</v>
      </c>
      <c r="H72" t="s">
        <v>137</v>
      </c>
      <c r="I72" t="s">
        <v>256</v>
      </c>
      <c r="J72" t="s">
        <v>34</v>
      </c>
      <c r="L72" t="s">
        <v>30</v>
      </c>
      <c r="M72">
        <v>22</v>
      </c>
      <c r="N72" t="s">
        <v>48</v>
      </c>
      <c r="O72" t="s">
        <v>173</v>
      </c>
      <c r="P72">
        <v>0</v>
      </c>
      <c r="Q72">
        <v>100</v>
      </c>
      <c r="R72" t="s">
        <v>36</v>
      </c>
      <c r="S72">
        <v>12</v>
      </c>
      <c r="T72">
        <v>12</v>
      </c>
      <c r="U72" t="s">
        <v>112</v>
      </c>
      <c r="V72" t="s">
        <v>37</v>
      </c>
      <c r="W72">
        <v>450</v>
      </c>
      <c r="X72">
        <v>532</v>
      </c>
      <c r="Y72">
        <v>8.3000000000000007</v>
      </c>
      <c r="Z72">
        <v>500</v>
      </c>
      <c r="AA72">
        <v>2000</v>
      </c>
      <c r="AB72">
        <v>50</v>
      </c>
      <c r="AC72" t="s">
        <v>40</v>
      </c>
    </row>
    <row r="73" spans="1:29" x14ac:dyDescent="0.25">
      <c r="A73" t="str">
        <f>"Raman_"&amp;E73&amp;"_"&amp;B73&amp;"_"&amp;AC73&amp;"_"&amp;TEXT(F73, "000")&amp;"_"&amp;TEXT(G73, "000")&amp;"_"&amp;H73&amp;".csv"</f>
        <v>Raman_EG_Pavlovagyrans_raw_002_002_C2.csv</v>
      </c>
      <c r="B73" t="s">
        <v>255</v>
      </c>
      <c r="C73" t="s">
        <v>30</v>
      </c>
      <c r="D73" t="s">
        <v>30</v>
      </c>
      <c r="E73" t="s">
        <v>31</v>
      </c>
      <c r="F73">
        <v>2</v>
      </c>
      <c r="G73">
        <v>2</v>
      </c>
      <c r="H73" t="s">
        <v>59</v>
      </c>
      <c r="I73" t="s">
        <v>256</v>
      </c>
      <c r="J73" t="s">
        <v>34</v>
      </c>
      <c r="L73" t="s">
        <v>30</v>
      </c>
      <c r="M73">
        <v>22</v>
      </c>
      <c r="N73" t="s">
        <v>88</v>
      </c>
      <c r="O73" t="s">
        <v>173</v>
      </c>
      <c r="P73">
        <v>0</v>
      </c>
      <c r="Q73">
        <v>100</v>
      </c>
      <c r="R73" t="s">
        <v>36</v>
      </c>
      <c r="S73">
        <v>12</v>
      </c>
      <c r="T73">
        <v>12</v>
      </c>
      <c r="U73" t="s">
        <v>112</v>
      </c>
      <c r="V73" t="s">
        <v>37</v>
      </c>
      <c r="W73">
        <v>450</v>
      </c>
      <c r="X73">
        <v>532</v>
      </c>
      <c r="Y73">
        <v>8.3000000000000007</v>
      </c>
      <c r="Z73">
        <v>500</v>
      </c>
      <c r="AA73">
        <v>2000</v>
      </c>
      <c r="AB73">
        <v>50</v>
      </c>
      <c r="AC73" t="s">
        <v>40</v>
      </c>
    </row>
    <row r="74" spans="1:29" x14ac:dyDescent="0.25">
      <c r="A74" t="str">
        <f>"Raman_"&amp;E74&amp;"_"&amp;B74&amp;"_"&amp;AC74&amp;"_"&amp;TEXT(F74, "000")&amp;"_"&amp;TEXT(G74, "000")&amp;"_"&amp;H74&amp;".csv"</f>
        <v>Raman_EG_Pavlovagyrans_raw_002_002_C3.csv</v>
      </c>
      <c r="B74" t="s">
        <v>255</v>
      </c>
      <c r="C74" t="s">
        <v>30</v>
      </c>
      <c r="D74" t="s">
        <v>30</v>
      </c>
      <c r="E74" t="s">
        <v>31</v>
      </c>
      <c r="F74">
        <v>2</v>
      </c>
      <c r="G74">
        <v>2</v>
      </c>
      <c r="H74" t="s">
        <v>60</v>
      </c>
      <c r="I74" t="s">
        <v>256</v>
      </c>
      <c r="J74" t="s">
        <v>34</v>
      </c>
      <c r="L74" t="s">
        <v>30</v>
      </c>
      <c r="M74">
        <v>22</v>
      </c>
      <c r="N74" t="s">
        <v>50</v>
      </c>
      <c r="O74" t="s">
        <v>173</v>
      </c>
      <c r="P74">
        <v>0</v>
      </c>
      <c r="Q74">
        <v>100</v>
      </c>
      <c r="R74" t="s">
        <v>36</v>
      </c>
      <c r="S74">
        <v>12</v>
      </c>
      <c r="T74">
        <v>12</v>
      </c>
      <c r="U74" t="s">
        <v>112</v>
      </c>
      <c r="V74" t="s">
        <v>37</v>
      </c>
      <c r="W74">
        <v>450</v>
      </c>
      <c r="X74">
        <v>532</v>
      </c>
      <c r="Y74">
        <v>8.3000000000000007</v>
      </c>
      <c r="Z74">
        <v>500</v>
      </c>
      <c r="AA74">
        <v>2000</v>
      </c>
      <c r="AB74">
        <v>50</v>
      </c>
      <c r="AC74" t="s">
        <v>40</v>
      </c>
    </row>
    <row r="75" spans="1:29" x14ac:dyDescent="0.25">
      <c r="A75" t="str">
        <f>"Raman_"&amp;E75&amp;"_"&amp;B75&amp;"_"&amp;AC75&amp;"_"&amp;TEXT(F75, "000")&amp;"_"&amp;TEXT(G75, "000")&amp;"_"&amp;H75&amp;".csv"</f>
        <v>Raman_EG_Pavlovagyrans_raw_002_002_C4.csv</v>
      </c>
      <c r="B75" t="s">
        <v>255</v>
      </c>
      <c r="C75" t="s">
        <v>30</v>
      </c>
      <c r="D75" t="s">
        <v>30</v>
      </c>
      <c r="E75" t="s">
        <v>31</v>
      </c>
      <c r="F75">
        <v>2</v>
      </c>
      <c r="G75">
        <v>2</v>
      </c>
      <c r="H75" t="s">
        <v>61</v>
      </c>
      <c r="I75" t="s">
        <v>256</v>
      </c>
      <c r="J75" t="s">
        <v>34</v>
      </c>
      <c r="L75" t="s">
        <v>30</v>
      </c>
      <c r="M75">
        <v>22</v>
      </c>
      <c r="N75" t="s">
        <v>90</v>
      </c>
      <c r="O75" t="s">
        <v>173</v>
      </c>
      <c r="P75">
        <v>0</v>
      </c>
      <c r="Q75">
        <v>100</v>
      </c>
      <c r="R75" t="s">
        <v>36</v>
      </c>
      <c r="S75">
        <v>12</v>
      </c>
      <c r="T75">
        <v>12</v>
      </c>
      <c r="U75" t="s">
        <v>112</v>
      </c>
      <c r="V75" t="s">
        <v>37</v>
      </c>
      <c r="W75">
        <v>450</v>
      </c>
      <c r="X75">
        <v>532</v>
      </c>
      <c r="Y75">
        <v>8.3000000000000007</v>
      </c>
      <c r="Z75">
        <v>500</v>
      </c>
      <c r="AA75">
        <v>2000</v>
      </c>
      <c r="AB75">
        <v>50</v>
      </c>
      <c r="AC75" t="s">
        <v>40</v>
      </c>
    </row>
    <row r="76" spans="1:29" x14ac:dyDescent="0.25">
      <c r="A76" t="str">
        <f>"Raman_"&amp;E76&amp;"_"&amp;B76&amp;"_"&amp;AC76&amp;"_"&amp;TEXT(F76, "000")&amp;"_"&amp;TEXT(G76, "000")&amp;"_"&amp;H76&amp;".csv"</f>
        <v>Raman_EG_Pavlovagyrans_raw_002_002_C5.csv</v>
      </c>
      <c r="B76" t="s">
        <v>255</v>
      </c>
      <c r="C76" t="s">
        <v>30</v>
      </c>
      <c r="D76" t="s">
        <v>30</v>
      </c>
      <c r="E76" t="s">
        <v>31</v>
      </c>
      <c r="F76">
        <v>2</v>
      </c>
      <c r="G76">
        <v>2</v>
      </c>
      <c r="H76" t="s">
        <v>62</v>
      </c>
      <c r="I76" t="s">
        <v>256</v>
      </c>
      <c r="J76" t="s">
        <v>34</v>
      </c>
      <c r="L76" t="s">
        <v>30</v>
      </c>
      <c r="M76">
        <v>22</v>
      </c>
      <c r="N76" t="s">
        <v>52</v>
      </c>
      <c r="O76" t="s">
        <v>173</v>
      </c>
      <c r="P76">
        <v>0</v>
      </c>
      <c r="Q76">
        <v>100</v>
      </c>
      <c r="R76" t="s">
        <v>36</v>
      </c>
      <c r="S76">
        <v>12</v>
      </c>
      <c r="T76">
        <v>12</v>
      </c>
      <c r="U76" t="s">
        <v>112</v>
      </c>
      <c r="V76" t="s">
        <v>37</v>
      </c>
      <c r="W76">
        <v>450</v>
      </c>
      <c r="X76">
        <v>532</v>
      </c>
      <c r="Y76">
        <v>8.3000000000000007</v>
      </c>
      <c r="Z76">
        <v>500</v>
      </c>
      <c r="AA76">
        <v>2000</v>
      </c>
      <c r="AB76">
        <v>50</v>
      </c>
      <c r="AC76" t="s">
        <v>40</v>
      </c>
    </row>
    <row r="77" spans="1:29" x14ac:dyDescent="0.25">
      <c r="A77" t="str">
        <f>"Raman_"&amp;E77&amp;"_"&amp;B77&amp;"_"&amp;AC77&amp;"_"&amp;TEXT(F77, "000")&amp;"_"&amp;TEXT(G77, "000")&amp;"_"&amp;H77&amp;".csv"</f>
        <v>Raman_EG_Pavlovagyrans_raw_002_002_C6.csv</v>
      </c>
      <c r="B77" t="s">
        <v>255</v>
      </c>
      <c r="C77" t="s">
        <v>30</v>
      </c>
      <c r="D77" t="s">
        <v>30</v>
      </c>
      <c r="E77" t="s">
        <v>31</v>
      </c>
      <c r="F77">
        <v>2</v>
      </c>
      <c r="G77">
        <v>2</v>
      </c>
      <c r="H77" t="s">
        <v>63</v>
      </c>
      <c r="I77" t="s">
        <v>256</v>
      </c>
      <c r="J77" t="s">
        <v>34</v>
      </c>
      <c r="L77" t="s">
        <v>30</v>
      </c>
      <c r="M77">
        <v>22</v>
      </c>
      <c r="N77" t="s">
        <v>92</v>
      </c>
      <c r="O77" t="s">
        <v>173</v>
      </c>
      <c r="P77">
        <v>0</v>
      </c>
      <c r="Q77">
        <v>100</v>
      </c>
      <c r="R77" t="s">
        <v>36</v>
      </c>
      <c r="S77">
        <v>12</v>
      </c>
      <c r="T77">
        <v>12</v>
      </c>
      <c r="U77" t="s">
        <v>112</v>
      </c>
      <c r="V77" t="s">
        <v>37</v>
      </c>
      <c r="W77">
        <v>450</v>
      </c>
      <c r="X77">
        <v>532</v>
      </c>
      <c r="Y77">
        <v>8.3000000000000007</v>
      </c>
      <c r="Z77">
        <v>500</v>
      </c>
      <c r="AA77">
        <v>2000</v>
      </c>
      <c r="AB77">
        <v>50</v>
      </c>
      <c r="AC77" t="s">
        <v>40</v>
      </c>
    </row>
    <row r="78" spans="1:29" x14ac:dyDescent="0.25">
      <c r="A78" t="str">
        <f>"Raman_"&amp;E78&amp;"_"&amp;B78&amp;"_"&amp;AC78&amp;"_"&amp;TEXT(F78, "000")&amp;"_"&amp;TEXT(G78, "000")&amp;"_"&amp;H78&amp;".csv"</f>
        <v>Raman_EG_Pavlovagyrans_raw_002_002_C7.csv</v>
      </c>
      <c r="B78" t="s">
        <v>255</v>
      </c>
      <c r="C78" t="s">
        <v>30</v>
      </c>
      <c r="D78" t="s">
        <v>30</v>
      </c>
      <c r="E78" t="s">
        <v>31</v>
      </c>
      <c r="F78">
        <v>2</v>
      </c>
      <c r="G78">
        <v>2</v>
      </c>
      <c r="H78" t="s">
        <v>64</v>
      </c>
      <c r="I78" t="s">
        <v>256</v>
      </c>
      <c r="J78" t="s">
        <v>34</v>
      </c>
      <c r="L78" t="s">
        <v>30</v>
      </c>
      <c r="M78">
        <v>22</v>
      </c>
      <c r="N78" t="s">
        <v>54</v>
      </c>
      <c r="O78" t="s">
        <v>173</v>
      </c>
      <c r="P78">
        <v>0</v>
      </c>
      <c r="Q78">
        <v>100</v>
      </c>
      <c r="R78" t="s">
        <v>36</v>
      </c>
      <c r="S78">
        <v>12</v>
      </c>
      <c r="T78">
        <v>12</v>
      </c>
      <c r="U78" t="s">
        <v>112</v>
      </c>
      <c r="V78" t="s">
        <v>37</v>
      </c>
      <c r="W78">
        <v>450</v>
      </c>
      <c r="X78">
        <v>532</v>
      </c>
      <c r="Y78">
        <v>8.3000000000000007</v>
      </c>
      <c r="Z78">
        <v>500</v>
      </c>
      <c r="AA78">
        <v>2000</v>
      </c>
      <c r="AB78">
        <v>50</v>
      </c>
      <c r="AC78" t="s">
        <v>40</v>
      </c>
    </row>
    <row r="79" spans="1:29" x14ac:dyDescent="0.25">
      <c r="A79" t="str">
        <f>"Raman_"&amp;E79&amp;"_"&amp;B79&amp;"_"&amp;AC79&amp;"_"&amp;TEXT(F79, "000")&amp;"_"&amp;TEXT(G79, "000")&amp;"_"&amp;H79&amp;".csv"</f>
        <v>Raman_EG_Pavlovagyrans_raw_002_002_C8.csv</v>
      </c>
      <c r="B79" t="s">
        <v>255</v>
      </c>
      <c r="C79" t="s">
        <v>30</v>
      </c>
      <c r="D79" t="s">
        <v>30</v>
      </c>
      <c r="E79" t="s">
        <v>31</v>
      </c>
      <c r="F79">
        <v>2</v>
      </c>
      <c r="G79">
        <v>2</v>
      </c>
      <c r="H79" t="s">
        <v>65</v>
      </c>
      <c r="I79" t="s">
        <v>256</v>
      </c>
      <c r="J79" t="s">
        <v>34</v>
      </c>
      <c r="L79" t="s">
        <v>30</v>
      </c>
      <c r="M79">
        <v>22</v>
      </c>
      <c r="N79" t="s">
        <v>94</v>
      </c>
      <c r="O79" t="s">
        <v>173</v>
      </c>
      <c r="P79">
        <v>0</v>
      </c>
      <c r="Q79">
        <v>100</v>
      </c>
      <c r="R79" t="s">
        <v>36</v>
      </c>
      <c r="S79">
        <v>12</v>
      </c>
      <c r="T79">
        <v>12</v>
      </c>
      <c r="U79" t="s">
        <v>112</v>
      </c>
      <c r="V79" t="s">
        <v>37</v>
      </c>
      <c r="W79">
        <v>450</v>
      </c>
      <c r="X79">
        <v>532</v>
      </c>
      <c r="Y79">
        <v>8.3000000000000007</v>
      </c>
      <c r="Z79">
        <v>500</v>
      </c>
      <c r="AA79">
        <v>2000</v>
      </c>
      <c r="AB79">
        <v>50</v>
      </c>
      <c r="AC79" t="s">
        <v>40</v>
      </c>
    </row>
    <row r="80" spans="1:29" x14ac:dyDescent="0.25">
      <c r="A80" t="str">
        <f>"Raman_"&amp;E80&amp;"_"&amp;B80&amp;"_"&amp;AC80&amp;"_"&amp;TEXT(F80, "000")&amp;"_"&amp;TEXT(G80, "000")&amp;"_"&amp;H80&amp;".csv"</f>
        <v>Raman_EG_Pavlovagyrans_raw_002_002_C9.csv</v>
      </c>
      <c r="B80" t="s">
        <v>255</v>
      </c>
      <c r="C80" t="s">
        <v>30</v>
      </c>
      <c r="D80" t="s">
        <v>30</v>
      </c>
      <c r="E80" t="s">
        <v>31</v>
      </c>
      <c r="F80">
        <v>2</v>
      </c>
      <c r="G80">
        <v>2</v>
      </c>
      <c r="H80" t="s">
        <v>66</v>
      </c>
      <c r="I80" t="s">
        <v>256</v>
      </c>
      <c r="J80" t="s">
        <v>34</v>
      </c>
      <c r="L80" t="s">
        <v>30</v>
      </c>
      <c r="M80">
        <v>22</v>
      </c>
      <c r="N80" t="s">
        <v>56</v>
      </c>
      <c r="O80" t="s">
        <v>173</v>
      </c>
      <c r="P80">
        <v>0</v>
      </c>
      <c r="Q80">
        <v>100</v>
      </c>
      <c r="R80" t="s">
        <v>36</v>
      </c>
      <c r="S80">
        <v>12</v>
      </c>
      <c r="T80">
        <v>12</v>
      </c>
      <c r="U80" t="s">
        <v>112</v>
      </c>
      <c r="V80" t="s">
        <v>37</v>
      </c>
      <c r="W80">
        <v>450</v>
      </c>
      <c r="X80">
        <v>532</v>
      </c>
      <c r="Y80">
        <v>8.3000000000000007</v>
      </c>
      <c r="Z80">
        <v>500</v>
      </c>
      <c r="AA80">
        <v>2000</v>
      </c>
      <c r="AB80">
        <v>50</v>
      </c>
      <c r="AC80" t="s">
        <v>40</v>
      </c>
    </row>
    <row r="81" spans="1:29" x14ac:dyDescent="0.25">
      <c r="A81" t="str">
        <f>"Raman_"&amp;E81&amp;"_"&amp;B81&amp;"_"&amp;AC81&amp;"_"&amp;TEXT(F81, "000")&amp;"_"&amp;TEXT(G81, "000")&amp;"_"&amp;H81&amp;".csv"</f>
        <v>Raman_EG_Pavlovagyrans_raw_002_002_C10.csv</v>
      </c>
      <c r="B81" t="s">
        <v>255</v>
      </c>
      <c r="C81" t="s">
        <v>30</v>
      </c>
      <c r="D81" t="s">
        <v>30</v>
      </c>
      <c r="E81" t="s">
        <v>31</v>
      </c>
      <c r="F81">
        <v>2</v>
      </c>
      <c r="G81">
        <v>2</v>
      </c>
      <c r="H81" t="s">
        <v>67</v>
      </c>
      <c r="I81" t="s">
        <v>256</v>
      </c>
      <c r="J81" t="s">
        <v>34</v>
      </c>
      <c r="L81" t="s">
        <v>30</v>
      </c>
      <c r="M81">
        <v>22</v>
      </c>
      <c r="N81" t="s">
        <v>96</v>
      </c>
      <c r="O81" t="s">
        <v>173</v>
      </c>
      <c r="P81">
        <v>0</v>
      </c>
      <c r="Q81">
        <v>100</v>
      </c>
      <c r="R81" t="s">
        <v>36</v>
      </c>
      <c r="S81">
        <v>12</v>
      </c>
      <c r="T81">
        <v>12</v>
      </c>
      <c r="U81" t="s">
        <v>112</v>
      </c>
      <c r="V81" t="s">
        <v>37</v>
      </c>
      <c r="W81">
        <v>450</v>
      </c>
      <c r="X81">
        <v>532</v>
      </c>
      <c r="Y81">
        <v>8.3000000000000007</v>
      </c>
      <c r="Z81">
        <v>500</v>
      </c>
      <c r="AA81">
        <v>2000</v>
      </c>
      <c r="AB81">
        <v>50</v>
      </c>
      <c r="AC81" t="s">
        <v>40</v>
      </c>
    </row>
    <row r="82" spans="1:29" x14ac:dyDescent="0.25">
      <c r="A82" t="str">
        <f>"Raman_"&amp;E82&amp;"_"&amp;B82&amp;"_"&amp;AC82&amp;"_"&amp;TEXT(F82, "000")&amp;"_"&amp;TEXT(G82, "000")&amp;"_"&amp;H82&amp;".csv"</f>
        <v>Raman_EG_Pavlovagyrans_raw_002_002_C11.csv</v>
      </c>
      <c r="B82" t="s">
        <v>255</v>
      </c>
      <c r="C82" t="s">
        <v>30</v>
      </c>
      <c r="D82" t="s">
        <v>30</v>
      </c>
      <c r="E82" t="s">
        <v>31</v>
      </c>
      <c r="F82">
        <v>2</v>
      </c>
      <c r="G82">
        <v>2</v>
      </c>
      <c r="H82" t="s">
        <v>68</v>
      </c>
      <c r="I82" t="s">
        <v>256</v>
      </c>
      <c r="J82" t="s">
        <v>34</v>
      </c>
      <c r="L82" t="s">
        <v>30</v>
      </c>
      <c r="M82">
        <v>22</v>
      </c>
      <c r="N82" t="s">
        <v>58</v>
      </c>
      <c r="O82" t="s">
        <v>173</v>
      </c>
      <c r="P82">
        <v>0</v>
      </c>
      <c r="Q82">
        <v>100</v>
      </c>
      <c r="R82" t="s">
        <v>36</v>
      </c>
      <c r="S82">
        <v>12</v>
      </c>
      <c r="T82">
        <v>12</v>
      </c>
      <c r="U82" t="s">
        <v>112</v>
      </c>
      <c r="V82" t="s">
        <v>37</v>
      </c>
      <c r="W82">
        <v>450</v>
      </c>
      <c r="X82">
        <v>532</v>
      </c>
      <c r="Y82">
        <v>8.3000000000000007</v>
      </c>
      <c r="Z82">
        <v>500</v>
      </c>
      <c r="AA82">
        <v>2000</v>
      </c>
      <c r="AB82">
        <v>50</v>
      </c>
      <c r="AC82" t="s">
        <v>40</v>
      </c>
    </row>
    <row r="83" spans="1:29" x14ac:dyDescent="0.25">
      <c r="A83" t="str">
        <f>"Raman_"&amp;E83&amp;"_"&amp;B83&amp;"_"&amp;AC83&amp;"_"&amp;TEXT(F83, "000")&amp;"_"&amp;TEXT(G83, "000")&amp;"_"&amp;H83&amp;".csv"</f>
        <v>Raman_EG_Pavlovagyrans_raw_002_002_D1.csv</v>
      </c>
      <c r="B83" t="s">
        <v>255</v>
      </c>
      <c r="C83" t="s">
        <v>30</v>
      </c>
      <c r="D83" t="s">
        <v>30</v>
      </c>
      <c r="E83" t="s">
        <v>31</v>
      </c>
      <c r="F83">
        <v>2</v>
      </c>
      <c r="G83">
        <v>2</v>
      </c>
      <c r="H83" t="s">
        <v>146</v>
      </c>
      <c r="I83" t="s">
        <v>256</v>
      </c>
      <c r="J83" t="s">
        <v>34</v>
      </c>
      <c r="L83" t="s">
        <v>30</v>
      </c>
      <c r="M83">
        <v>22</v>
      </c>
      <c r="N83" t="s">
        <v>48</v>
      </c>
      <c r="O83" t="s">
        <v>173</v>
      </c>
      <c r="P83">
        <v>0</v>
      </c>
      <c r="Q83">
        <v>100</v>
      </c>
      <c r="R83" t="s">
        <v>36</v>
      </c>
      <c r="S83">
        <v>12</v>
      </c>
      <c r="T83">
        <v>12</v>
      </c>
      <c r="U83" t="s">
        <v>112</v>
      </c>
      <c r="V83" t="s">
        <v>37</v>
      </c>
      <c r="W83">
        <v>450</v>
      </c>
      <c r="X83">
        <v>532</v>
      </c>
      <c r="Y83">
        <v>8.3000000000000007</v>
      </c>
      <c r="Z83">
        <v>500</v>
      </c>
      <c r="AA83">
        <v>2000</v>
      </c>
      <c r="AB83">
        <v>50</v>
      </c>
      <c r="AC83" t="s">
        <v>40</v>
      </c>
    </row>
    <row r="84" spans="1:29" x14ac:dyDescent="0.25">
      <c r="A84" t="str">
        <f>"Raman_"&amp;E84&amp;"_"&amp;B84&amp;"_"&amp;AC84&amp;"_"&amp;TEXT(F84, "000")&amp;"_"&amp;TEXT(G84, "000")&amp;"_"&amp;H84&amp;".csv"</f>
        <v>Raman_EG_Pavlovagyrans_raw_002_002_D2.csv</v>
      </c>
      <c r="B84" t="s">
        <v>255</v>
      </c>
      <c r="C84" t="s">
        <v>30</v>
      </c>
      <c r="D84" t="s">
        <v>30</v>
      </c>
      <c r="E84" t="s">
        <v>31</v>
      </c>
      <c r="F84">
        <v>2</v>
      </c>
      <c r="G84">
        <v>2</v>
      </c>
      <c r="H84" t="s">
        <v>69</v>
      </c>
      <c r="I84" t="s">
        <v>256</v>
      </c>
      <c r="J84" t="s">
        <v>34</v>
      </c>
      <c r="L84" t="s">
        <v>30</v>
      </c>
      <c r="M84">
        <v>22</v>
      </c>
      <c r="N84" t="s">
        <v>88</v>
      </c>
      <c r="O84" t="s">
        <v>173</v>
      </c>
      <c r="P84">
        <v>0</v>
      </c>
      <c r="Q84">
        <v>100</v>
      </c>
      <c r="R84" t="s">
        <v>36</v>
      </c>
      <c r="S84">
        <v>12</v>
      </c>
      <c r="T84">
        <v>12</v>
      </c>
      <c r="U84" t="s">
        <v>112</v>
      </c>
      <c r="V84" t="s">
        <v>37</v>
      </c>
      <c r="W84">
        <v>450</v>
      </c>
      <c r="X84">
        <v>532</v>
      </c>
      <c r="Y84">
        <v>8.3000000000000007</v>
      </c>
      <c r="Z84">
        <v>500</v>
      </c>
      <c r="AA84">
        <v>2000</v>
      </c>
      <c r="AB84">
        <v>50</v>
      </c>
      <c r="AC84" t="s">
        <v>40</v>
      </c>
    </row>
    <row r="85" spans="1:29" x14ac:dyDescent="0.25">
      <c r="A85" t="str">
        <f>"Raman_"&amp;E85&amp;"_"&amp;B85&amp;"_"&amp;AC85&amp;"_"&amp;TEXT(F85, "000")&amp;"_"&amp;TEXT(G85, "000")&amp;"_"&amp;H85&amp;".csv"</f>
        <v>Raman_EG_Pavlovagyrans_raw_002_002_D3.csv</v>
      </c>
      <c r="B85" t="s">
        <v>255</v>
      </c>
      <c r="C85" t="s">
        <v>30</v>
      </c>
      <c r="D85" t="s">
        <v>30</v>
      </c>
      <c r="E85" t="s">
        <v>31</v>
      </c>
      <c r="F85">
        <v>2</v>
      </c>
      <c r="G85">
        <v>2</v>
      </c>
      <c r="H85" t="s">
        <v>70</v>
      </c>
      <c r="I85" t="s">
        <v>256</v>
      </c>
      <c r="J85" t="s">
        <v>34</v>
      </c>
      <c r="L85" t="s">
        <v>30</v>
      </c>
      <c r="M85">
        <v>22</v>
      </c>
      <c r="N85" t="s">
        <v>50</v>
      </c>
      <c r="O85" t="s">
        <v>173</v>
      </c>
      <c r="P85">
        <v>0</v>
      </c>
      <c r="Q85">
        <v>100</v>
      </c>
      <c r="R85" t="s">
        <v>36</v>
      </c>
      <c r="S85">
        <v>12</v>
      </c>
      <c r="T85">
        <v>12</v>
      </c>
      <c r="U85" t="s">
        <v>112</v>
      </c>
      <c r="V85" t="s">
        <v>37</v>
      </c>
      <c r="W85">
        <v>450</v>
      </c>
      <c r="X85">
        <v>532</v>
      </c>
      <c r="Y85">
        <v>8.3000000000000007</v>
      </c>
      <c r="Z85">
        <v>500</v>
      </c>
      <c r="AA85">
        <v>2000</v>
      </c>
      <c r="AB85">
        <v>50</v>
      </c>
      <c r="AC85" t="s">
        <v>40</v>
      </c>
    </row>
    <row r="86" spans="1:29" x14ac:dyDescent="0.25">
      <c r="A86" t="str">
        <f>"Raman_"&amp;E86&amp;"_"&amp;B86&amp;"_"&amp;AC86&amp;"_"&amp;TEXT(F86, "000")&amp;"_"&amp;TEXT(G86, "000")&amp;"_"&amp;H86&amp;".csv"</f>
        <v>Raman_EG_Pavlovagyrans_raw_002_002_D4.csv</v>
      </c>
      <c r="B86" t="s">
        <v>255</v>
      </c>
      <c r="C86" t="s">
        <v>30</v>
      </c>
      <c r="D86" t="s">
        <v>30</v>
      </c>
      <c r="E86" t="s">
        <v>31</v>
      </c>
      <c r="F86">
        <v>2</v>
      </c>
      <c r="G86">
        <v>2</v>
      </c>
      <c r="H86" t="s">
        <v>71</v>
      </c>
      <c r="I86" t="s">
        <v>256</v>
      </c>
      <c r="J86" t="s">
        <v>34</v>
      </c>
      <c r="L86" t="s">
        <v>30</v>
      </c>
      <c r="M86">
        <v>22</v>
      </c>
      <c r="N86" t="s">
        <v>90</v>
      </c>
      <c r="O86" t="s">
        <v>173</v>
      </c>
      <c r="P86">
        <v>0</v>
      </c>
      <c r="Q86">
        <v>100</v>
      </c>
      <c r="R86" t="s">
        <v>36</v>
      </c>
      <c r="S86">
        <v>12</v>
      </c>
      <c r="T86">
        <v>12</v>
      </c>
      <c r="U86" t="s">
        <v>112</v>
      </c>
      <c r="V86" t="s">
        <v>37</v>
      </c>
      <c r="W86">
        <v>450</v>
      </c>
      <c r="X86">
        <v>532</v>
      </c>
      <c r="Y86">
        <v>8.3000000000000007</v>
      </c>
      <c r="Z86">
        <v>500</v>
      </c>
      <c r="AA86">
        <v>2000</v>
      </c>
      <c r="AB86">
        <v>50</v>
      </c>
      <c r="AC86" t="s">
        <v>40</v>
      </c>
    </row>
    <row r="87" spans="1:29" x14ac:dyDescent="0.25">
      <c r="A87" t="str">
        <f>"Raman_"&amp;E87&amp;"_"&amp;B87&amp;"_"&amp;AC87&amp;"_"&amp;TEXT(F87, "000")&amp;"_"&amp;TEXT(G87, "000")&amp;"_"&amp;H87&amp;".csv"</f>
        <v>Raman_EG_Pavlovagyrans_raw_002_002_D5.csv</v>
      </c>
      <c r="B87" t="s">
        <v>255</v>
      </c>
      <c r="C87" t="s">
        <v>30</v>
      </c>
      <c r="D87" t="s">
        <v>30</v>
      </c>
      <c r="E87" t="s">
        <v>31</v>
      </c>
      <c r="F87">
        <v>2</v>
      </c>
      <c r="G87">
        <v>2</v>
      </c>
      <c r="H87" t="s">
        <v>72</v>
      </c>
      <c r="I87" t="s">
        <v>256</v>
      </c>
      <c r="J87" t="s">
        <v>34</v>
      </c>
      <c r="L87" t="s">
        <v>30</v>
      </c>
      <c r="M87">
        <v>22</v>
      </c>
      <c r="N87" t="s">
        <v>52</v>
      </c>
      <c r="O87" t="s">
        <v>173</v>
      </c>
      <c r="P87">
        <v>0</v>
      </c>
      <c r="Q87">
        <v>100</v>
      </c>
      <c r="R87" t="s">
        <v>36</v>
      </c>
      <c r="S87">
        <v>12</v>
      </c>
      <c r="T87">
        <v>12</v>
      </c>
      <c r="U87" t="s">
        <v>112</v>
      </c>
      <c r="V87" t="s">
        <v>37</v>
      </c>
      <c r="W87">
        <v>450</v>
      </c>
      <c r="X87">
        <v>532</v>
      </c>
      <c r="Y87">
        <v>8.3000000000000007</v>
      </c>
      <c r="Z87">
        <v>500</v>
      </c>
      <c r="AA87">
        <v>2000</v>
      </c>
      <c r="AB87">
        <v>50</v>
      </c>
      <c r="AC87" t="s">
        <v>40</v>
      </c>
    </row>
    <row r="88" spans="1:29" x14ac:dyDescent="0.25">
      <c r="A88" t="str">
        <f>"Raman_"&amp;E88&amp;"_"&amp;B88&amp;"_"&amp;AC88&amp;"_"&amp;TEXT(F88, "000")&amp;"_"&amp;TEXT(G88, "000")&amp;"_"&amp;H88&amp;".csv"</f>
        <v>Raman_EG_Pavlovagyrans_raw_002_002_D6.csv</v>
      </c>
      <c r="B88" t="s">
        <v>255</v>
      </c>
      <c r="C88" t="s">
        <v>30</v>
      </c>
      <c r="D88" t="s">
        <v>30</v>
      </c>
      <c r="E88" t="s">
        <v>31</v>
      </c>
      <c r="F88">
        <v>2</v>
      </c>
      <c r="G88">
        <v>2</v>
      </c>
      <c r="H88" t="s">
        <v>73</v>
      </c>
      <c r="I88" t="s">
        <v>256</v>
      </c>
      <c r="J88" t="s">
        <v>34</v>
      </c>
      <c r="L88" t="s">
        <v>30</v>
      </c>
      <c r="M88">
        <v>22</v>
      </c>
      <c r="N88" t="s">
        <v>92</v>
      </c>
      <c r="O88" t="s">
        <v>173</v>
      </c>
      <c r="P88">
        <v>0</v>
      </c>
      <c r="Q88">
        <v>100</v>
      </c>
      <c r="R88" t="s">
        <v>36</v>
      </c>
      <c r="S88">
        <v>12</v>
      </c>
      <c r="T88">
        <v>12</v>
      </c>
      <c r="U88" t="s">
        <v>112</v>
      </c>
      <c r="V88" t="s">
        <v>37</v>
      </c>
      <c r="W88">
        <v>450</v>
      </c>
      <c r="X88">
        <v>532</v>
      </c>
      <c r="Y88">
        <v>8.3000000000000007</v>
      </c>
      <c r="Z88">
        <v>500</v>
      </c>
      <c r="AA88">
        <v>2000</v>
      </c>
      <c r="AB88">
        <v>50</v>
      </c>
      <c r="AC88" t="s">
        <v>40</v>
      </c>
    </row>
    <row r="89" spans="1:29" x14ac:dyDescent="0.25">
      <c r="A89" t="str">
        <f>"Raman_"&amp;E89&amp;"_"&amp;B89&amp;"_"&amp;AC89&amp;"_"&amp;TEXT(F89, "000")&amp;"_"&amp;TEXT(G89, "000")&amp;"_"&amp;H89&amp;".csv"</f>
        <v>Raman_EG_Pavlovagyrans_raw_002_002_D7.csv</v>
      </c>
      <c r="B89" t="s">
        <v>255</v>
      </c>
      <c r="C89" t="s">
        <v>30</v>
      </c>
      <c r="D89" t="s">
        <v>30</v>
      </c>
      <c r="E89" t="s">
        <v>31</v>
      </c>
      <c r="F89">
        <v>2</v>
      </c>
      <c r="G89">
        <v>2</v>
      </c>
      <c r="H89" t="s">
        <v>74</v>
      </c>
      <c r="I89" t="s">
        <v>256</v>
      </c>
      <c r="J89" t="s">
        <v>34</v>
      </c>
      <c r="L89" t="s">
        <v>30</v>
      </c>
      <c r="M89">
        <v>22</v>
      </c>
      <c r="N89" t="s">
        <v>54</v>
      </c>
      <c r="O89" t="s">
        <v>173</v>
      </c>
      <c r="P89">
        <v>0</v>
      </c>
      <c r="Q89">
        <v>100</v>
      </c>
      <c r="R89" t="s">
        <v>36</v>
      </c>
      <c r="S89">
        <v>12</v>
      </c>
      <c r="T89">
        <v>12</v>
      </c>
      <c r="U89" t="s">
        <v>112</v>
      </c>
      <c r="V89" t="s">
        <v>37</v>
      </c>
      <c r="W89">
        <v>450</v>
      </c>
      <c r="X89">
        <v>532</v>
      </c>
      <c r="Y89">
        <v>8.3000000000000007</v>
      </c>
      <c r="Z89">
        <v>500</v>
      </c>
      <c r="AA89">
        <v>2000</v>
      </c>
      <c r="AB89">
        <v>50</v>
      </c>
      <c r="AC89" t="s">
        <v>40</v>
      </c>
    </row>
    <row r="90" spans="1:29" x14ac:dyDescent="0.25">
      <c r="A90" t="str">
        <f>"Raman_"&amp;E90&amp;"_"&amp;B90&amp;"_"&amp;AC90&amp;"_"&amp;TEXT(F90, "000")&amp;"_"&amp;TEXT(G90, "000")&amp;"_"&amp;H90&amp;".csv"</f>
        <v>Raman_EG_Pavlovagyrans_raw_002_002_D8.csv</v>
      </c>
      <c r="B90" t="s">
        <v>255</v>
      </c>
      <c r="C90" t="s">
        <v>30</v>
      </c>
      <c r="D90" t="s">
        <v>30</v>
      </c>
      <c r="E90" t="s">
        <v>31</v>
      </c>
      <c r="F90">
        <v>2</v>
      </c>
      <c r="G90">
        <v>2</v>
      </c>
      <c r="H90" t="s">
        <v>75</v>
      </c>
      <c r="I90" t="s">
        <v>256</v>
      </c>
      <c r="J90" t="s">
        <v>34</v>
      </c>
      <c r="L90" t="s">
        <v>30</v>
      </c>
      <c r="M90">
        <v>22</v>
      </c>
      <c r="N90" t="s">
        <v>94</v>
      </c>
      <c r="O90" t="s">
        <v>173</v>
      </c>
      <c r="P90">
        <v>0</v>
      </c>
      <c r="Q90">
        <v>100</v>
      </c>
      <c r="R90" t="s">
        <v>36</v>
      </c>
      <c r="S90">
        <v>12</v>
      </c>
      <c r="T90">
        <v>12</v>
      </c>
      <c r="U90" t="s">
        <v>112</v>
      </c>
      <c r="V90" t="s">
        <v>37</v>
      </c>
      <c r="W90">
        <v>450</v>
      </c>
      <c r="X90">
        <v>532</v>
      </c>
      <c r="Y90">
        <v>8.3000000000000007</v>
      </c>
      <c r="Z90">
        <v>500</v>
      </c>
      <c r="AA90">
        <v>2000</v>
      </c>
      <c r="AB90">
        <v>50</v>
      </c>
      <c r="AC90" t="s">
        <v>40</v>
      </c>
    </row>
    <row r="91" spans="1:29" x14ac:dyDescent="0.25">
      <c r="A91" t="str">
        <f>"Raman_"&amp;E91&amp;"_"&amp;B91&amp;"_"&amp;AC91&amp;"_"&amp;TEXT(F91, "000")&amp;"_"&amp;TEXT(G91, "000")&amp;"_"&amp;H91&amp;".csv"</f>
        <v>Raman_EG_Pavlovagyrans_raw_002_002_D9.csv</v>
      </c>
      <c r="B91" t="s">
        <v>255</v>
      </c>
      <c r="C91" t="s">
        <v>30</v>
      </c>
      <c r="D91" t="s">
        <v>30</v>
      </c>
      <c r="E91" t="s">
        <v>31</v>
      </c>
      <c r="F91">
        <v>2</v>
      </c>
      <c r="G91">
        <v>2</v>
      </c>
      <c r="H91" t="s">
        <v>76</v>
      </c>
      <c r="I91" t="s">
        <v>256</v>
      </c>
      <c r="J91" t="s">
        <v>34</v>
      </c>
      <c r="L91" t="s">
        <v>30</v>
      </c>
      <c r="M91">
        <v>22</v>
      </c>
      <c r="N91" t="s">
        <v>56</v>
      </c>
      <c r="O91" t="s">
        <v>173</v>
      </c>
      <c r="P91">
        <v>0</v>
      </c>
      <c r="Q91">
        <v>100</v>
      </c>
      <c r="R91" t="s">
        <v>36</v>
      </c>
      <c r="S91">
        <v>12</v>
      </c>
      <c r="T91">
        <v>12</v>
      </c>
      <c r="U91" t="s">
        <v>112</v>
      </c>
      <c r="V91" t="s">
        <v>37</v>
      </c>
      <c r="W91">
        <v>450</v>
      </c>
      <c r="X91">
        <v>532</v>
      </c>
      <c r="Y91">
        <v>8.3000000000000007</v>
      </c>
      <c r="Z91">
        <v>500</v>
      </c>
      <c r="AA91">
        <v>2000</v>
      </c>
      <c r="AB91">
        <v>50</v>
      </c>
      <c r="AC91" t="s">
        <v>40</v>
      </c>
    </row>
    <row r="92" spans="1:29" x14ac:dyDescent="0.25">
      <c r="A92" t="str">
        <f>"Raman_"&amp;E92&amp;"_"&amp;B92&amp;"_"&amp;AC92&amp;"_"&amp;TEXT(F92, "000")&amp;"_"&amp;TEXT(G92, "000")&amp;"_"&amp;H92&amp;".csv"</f>
        <v>Raman_EG_Pavlovagyrans_raw_002_002_D10.csv</v>
      </c>
      <c r="B92" t="s">
        <v>255</v>
      </c>
      <c r="C92" t="s">
        <v>30</v>
      </c>
      <c r="D92" t="s">
        <v>30</v>
      </c>
      <c r="E92" t="s">
        <v>31</v>
      </c>
      <c r="F92">
        <v>2</v>
      </c>
      <c r="G92">
        <v>2</v>
      </c>
      <c r="H92" t="s">
        <v>77</v>
      </c>
      <c r="I92" t="s">
        <v>256</v>
      </c>
      <c r="J92" t="s">
        <v>34</v>
      </c>
      <c r="L92" t="s">
        <v>30</v>
      </c>
      <c r="M92">
        <v>22</v>
      </c>
      <c r="N92" t="s">
        <v>96</v>
      </c>
      <c r="O92" t="s">
        <v>173</v>
      </c>
      <c r="P92">
        <v>0</v>
      </c>
      <c r="Q92">
        <v>100</v>
      </c>
      <c r="R92" t="s">
        <v>36</v>
      </c>
      <c r="S92">
        <v>12</v>
      </c>
      <c r="T92">
        <v>12</v>
      </c>
      <c r="U92" t="s">
        <v>112</v>
      </c>
      <c r="V92" t="s">
        <v>37</v>
      </c>
      <c r="W92">
        <v>450</v>
      </c>
      <c r="X92">
        <v>532</v>
      </c>
      <c r="Y92">
        <v>8.3000000000000007</v>
      </c>
      <c r="Z92">
        <v>500</v>
      </c>
      <c r="AA92">
        <v>2000</v>
      </c>
      <c r="AB92">
        <v>50</v>
      </c>
      <c r="AC92" t="s">
        <v>40</v>
      </c>
    </row>
    <row r="93" spans="1:29" x14ac:dyDescent="0.25">
      <c r="A93" t="str">
        <f>"Raman_"&amp;E93&amp;"_"&amp;B93&amp;"_"&amp;AC93&amp;"_"&amp;TEXT(F93, "000")&amp;"_"&amp;TEXT(G93, "000")&amp;"_"&amp;H93&amp;".csv"</f>
        <v>Raman_EG_Pavlovagyrans_raw_002_002_D11.csv</v>
      </c>
      <c r="B93" t="s">
        <v>255</v>
      </c>
      <c r="C93" t="s">
        <v>30</v>
      </c>
      <c r="D93" t="s">
        <v>30</v>
      </c>
      <c r="E93" t="s">
        <v>31</v>
      </c>
      <c r="F93">
        <v>2</v>
      </c>
      <c r="G93">
        <v>2</v>
      </c>
      <c r="H93" t="s">
        <v>78</v>
      </c>
      <c r="I93" t="s">
        <v>256</v>
      </c>
      <c r="J93" t="s">
        <v>34</v>
      </c>
      <c r="L93" t="s">
        <v>30</v>
      </c>
      <c r="M93">
        <v>22</v>
      </c>
      <c r="N93" t="s">
        <v>58</v>
      </c>
      <c r="O93" t="s">
        <v>173</v>
      </c>
      <c r="P93">
        <v>0</v>
      </c>
      <c r="Q93">
        <v>100</v>
      </c>
      <c r="R93" t="s">
        <v>36</v>
      </c>
      <c r="S93">
        <v>12</v>
      </c>
      <c r="T93">
        <v>12</v>
      </c>
      <c r="U93" t="s">
        <v>112</v>
      </c>
      <c r="V93" t="s">
        <v>37</v>
      </c>
      <c r="W93">
        <v>450</v>
      </c>
      <c r="X93">
        <v>532</v>
      </c>
      <c r="Y93">
        <v>8.3000000000000007</v>
      </c>
      <c r="Z93">
        <v>500</v>
      </c>
      <c r="AA93">
        <v>2000</v>
      </c>
      <c r="AB93">
        <v>50</v>
      </c>
      <c r="AC93" t="s">
        <v>40</v>
      </c>
    </row>
    <row r="94" spans="1:29" x14ac:dyDescent="0.25">
      <c r="A94" t="str">
        <f>"Raman_"&amp;E94&amp;"_"&amp;B94&amp;"_"&amp;AC94&amp;"_"&amp;TEXT(F94, "000")&amp;"_"&amp;TEXT(G94, "000")&amp;"_"&amp;H94&amp;".csv"</f>
        <v>Raman_EG_Pavlovagyrans_raw_002_002_E1.csv</v>
      </c>
      <c r="B94" t="s">
        <v>255</v>
      </c>
      <c r="C94" t="s">
        <v>30</v>
      </c>
      <c r="D94" t="s">
        <v>30</v>
      </c>
      <c r="E94" t="s">
        <v>31</v>
      </c>
      <c r="F94">
        <v>2</v>
      </c>
      <c r="G94">
        <v>2</v>
      </c>
      <c r="H94" t="s">
        <v>155</v>
      </c>
      <c r="I94" t="s">
        <v>256</v>
      </c>
      <c r="J94" t="s">
        <v>34</v>
      </c>
      <c r="L94" t="s">
        <v>30</v>
      </c>
      <c r="M94">
        <v>22</v>
      </c>
      <c r="N94" t="s">
        <v>48</v>
      </c>
      <c r="O94" t="s">
        <v>173</v>
      </c>
      <c r="P94">
        <v>0</v>
      </c>
      <c r="Q94">
        <v>100</v>
      </c>
      <c r="R94" t="s">
        <v>36</v>
      </c>
      <c r="S94">
        <v>12</v>
      </c>
      <c r="T94">
        <v>12</v>
      </c>
      <c r="U94" t="s">
        <v>112</v>
      </c>
      <c r="V94" t="s">
        <v>37</v>
      </c>
      <c r="W94">
        <v>450</v>
      </c>
      <c r="X94">
        <v>532</v>
      </c>
      <c r="Y94">
        <v>8.3000000000000007</v>
      </c>
      <c r="Z94">
        <v>500</v>
      </c>
      <c r="AA94">
        <v>2000</v>
      </c>
      <c r="AB94">
        <v>50</v>
      </c>
      <c r="AC94" t="s">
        <v>40</v>
      </c>
    </row>
    <row r="95" spans="1:29" x14ac:dyDescent="0.25">
      <c r="A95" t="str">
        <f>"Raman_"&amp;E95&amp;"_"&amp;B95&amp;"_"&amp;AC95&amp;"_"&amp;TEXT(F95, "000")&amp;"_"&amp;TEXT(G95, "000")&amp;"_"&amp;H95&amp;".csv"</f>
        <v>Raman_EG_Pavlovagyrans_raw_002_002_E2.csv</v>
      </c>
      <c r="B95" t="s">
        <v>255</v>
      </c>
      <c r="C95" t="s">
        <v>30</v>
      </c>
      <c r="D95" t="s">
        <v>30</v>
      </c>
      <c r="E95" t="s">
        <v>31</v>
      </c>
      <c r="F95">
        <v>2</v>
      </c>
      <c r="G95">
        <v>2</v>
      </c>
      <c r="H95" t="s">
        <v>79</v>
      </c>
      <c r="I95" t="s">
        <v>256</v>
      </c>
      <c r="J95" t="s">
        <v>34</v>
      </c>
      <c r="L95" t="s">
        <v>30</v>
      </c>
      <c r="M95">
        <v>22</v>
      </c>
      <c r="N95" t="s">
        <v>88</v>
      </c>
      <c r="O95" t="s">
        <v>173</v>
      </c>
      <c r="P95">
        <v>0</v>
      </c>
      <c r="Q95">
        <v>100</v>
      </c>
      <c r="R95" t="s">
        <v>36</v>
      </c>
      <c r="S95">
        <v>12</v>
      </c>
      <c r="T95">
        <v>12</v>
      </c>
      <c r="U95" t="s">
        <v>112</v>
      </c>
      <c r="V95" t="s">
        <v>37</v>
      </c>
      <c r="W95">
        <v>450</v>
      </c>
      <c r="X95">
        <v>532</v>
      </c>
      <c r="Y95">
        <v>8.3000000000000007</v>
      </c>
      <c r="Z95">
        <v>500</v>
      </c>
      <c r="AA95">
        <v>2000</v>
      </c>
      <c r="AB95">
        <v>50</v>
      </c>
      <c r="AC95" t="s">
        <v>40</v>
      </c>
    </row>
    <row r="96" spans="1:29" x14ac:dyDescent="0.25">
      <c r="A96" t="str">
        <f>"Raman_"&amp;E96&amp;"_"&amp;B96&amp;"_"&amp;AC96&amp;"_"&amp;TEXT(F96, "000")&amp;"_"&amp;TEXT(G96, "000")&amp;"_"&amp;H96&amp;".csv"</f>
        <v>Raman_EG_Pavlovagyrans_raw_002_002_E3.csv</v>
      </c>
      <c r="B96" t="s">
        <v>255</v>
      </c>
      <c r="C96" t="s">
        <v>30</v>
      </c>
      <c r="D96" t="s">
        <v>30</v>
      </c>
      <c r="E96" t="s">
        <v>31</v>
      </c>
      <c r="F96">
        <v>2</v>
      </c>
      <c r="G96">
        <v>2</v>
      </c>
      <c r="H96" t="s">
        <v>81</v>
      </c>
      <c r="I96" t="s">
        <v>256</v>
      </c>
      <c r="J96" t="s">
        <v>34</v>
      </c>
      <c r="L96" t="s">
        <v>30</v>
      </c>
      <c r="M96">
        <v>22</v>
      </c>
      <c r="N96" t="s">
        <v>50</v>
      </c>
      <c r="O96" t="s">
        <v>173</v>
      </c>
      <c r="P96">
        <v>0</v>
      </c>
      <c r="Q96">
        <v>100</v>
      </c>
      <c r="R96" t="s">
        <v>36</v>
      </c>
      <c r="S96">
        <v>12</v>
      </c>
      <c r="T96">
        <v>12</v>
      </c>
      <c r="U96" t="s">
        <v>112</v>
      </c>
      <c r="V96" t="s">
        <v>37</v>
      </c>
      <c r="W96">
        <v>450</v>
      </c>
      <c r="X96">
        <v>532</v>
      </c>
      <c r="Y96">
        <v>8.3000000000000007</v>
      </c>
      <c r="Z96">
        <v>500</v>
      </c>
      <c r="AA96">
        <v>2000</v>
      </c>
      <c r="AB96">
        <v>50</v>
      </c>
      <c r="AC96" t="s">
        <v>40</v>
      </c>
    </row>
    <row r="97" spans="1:29" x14ac:dyDescent="0.25">
      <c r="A97" t="str">
        <f>"Raman_"&amp;E97&amp;"_"&amp;B97&amp;"_"&amp;AC97&amp;"_"&amp;TEXT(F97, "000")&amp;"_"&amp;TEXT(G97, "000")&amp;"_"&amp;H97&amp;".csv"</f>
        <v>Raman_EG_Pavlovagyrans_raw_002_002_E4.csv</v>
      </c>
      <c r="B97" t="s">
        <v>255</v>
      </c>
      <c r="C97" t="s">
        <v>30</v>
      </c>
      <c r="D97" t="s">
        <v>30</v>
      </c>
      <c r="E97" t="s">
        <v>31</v>
      </c>
      <c r="F97">
        <v>2</v>
      </c>
      <c r="G97">
        <v>2</v>
      </c>
      <c r="H97" t="s">
        <v>83</v>
      </c>
      <c r="I97" t="s">
        <v>256</v>
      </c>
      <c r="J97" t="s">
        <v>34</v>
      </c>
      <c r="L97" t="s">
        <v>30</v>
      </c>
      <c r="M97">
        <v>22</v>
      </c>
      <c r="N97" t="s">
        <v>90</v>
      </c>
      <c r="O97" t="s">
        <v>173</v>
      </c>
      <c r="P97">
        <v>0</v>
      </c>
      <c r="Q97">
        <v>100</v>
      </c>
      <c r="R97" t="s">
        <v>36</v>
      </c>
      <c r="S97">
        <v>12</v>
      </c>
      <c r="T97">
        <v>12</v>
      </c>
      <c r="U97" t="s">
        <v>112</v>
      </c>
      <c r="V97" t="s">
        <v>37</v>
      </c>
      <c r="W97">
        <v>450</v>
      </c>
      <c r="X97">
        <v>532</v>
      </c>
      <c r="Y97">
        <v>8.3000000000000007</v>
      </c>
      <c r="Z97">
        <v>500</v>
      </c>
      <c r="AA97">
        <v>2000</v>
      </c>
      <c r="AB97">
        <v>50</v>
      </c>
      <c r="AC97" t="s">
        <v>40</v>
      </c>
    </row>
    <row r="98" spans="1:29" x14ac:dyDescent="0.25">
      <c r="A98" t="str">
        <f>"Raman_"&amp;E98&amp;"_"&amp;B98&amp;"_"&amp;AC98&amp;"_"&amp;TEXT(F98, "000")&amp;"_"&amp;TEXT(G98, "000")&amp;"_"&amp;H98&amp;".csv"</f>
        <v>Raman_EG_Pavlovagyrans_raw_002_002_E5.csv</v>
      </c>
      <c r="B98" t="s">
        <v>255</v>
      </c>
      <c r="C98" t="s">
        <v>30</v>
      </c>
      <c r="D98" t="s">
        <v>30</v>
      </c>
      <c r="E98" t="s">
        <v>31</v>
      </c>
      <c r="F98">
        <v>2</v>
      </c>
      <c r="G98">
        <v>2</v>
      </c>
      <c r="H98" t="s">
        <v>85</v>
      </c>
      <c r="I98" t="s">
        <v>256</v>
      </c>
      <c r="J98" t="s">
        <v>34</v>
      </c>
      <c r="L98" t="s">
        <v>30</v>
      </c>
      <c r="M98">
        <v>22</v>
      </c>
      <c r="N98" t="s">
        <v>52</v>
      </c>
      <c r="O98" t="s">
        <v>173</v>
      </c>
      <c r="P98">
        <v>0</v>
      </c>
      <c r="Q98">
        <v>100</v>
      </c>
      <c r="R98" t="s">
        <v>36</v>
      </c>
      <c r="S98">
        <v>12</v>
      </c>
      <c r="T98">
        <v>12</v>
      </c>
      <c r="U98" t="s">
        <v>112</v>
      </c>
      <c r="V98" t="s">
        <v>37</v>
      </c>
      <c r="W98">
        <v>450</v>
      </c>
      <c r="X98">
        <v>532</v>
      </c>
      <c r="Y98">
        <v>8.3000000000000007</v>
      </c>
      <c r="Z98">
        <v>500</v>
      </c>
      <c r="AA98">
        <v>2000</v>
      </c>
      <c r="AB98">
        <v>50</v>
      </c>
      <c r="AC98" t="s">
        <v>40</v>
      </c>
    </row>
    <row r="99" spans="1:29" x14ac:dyDescent="0.25">
      <c r="A99" t="str">
        <f>"Raman_"&amp;E99&amp;"_"&amp;B99&amp;"_"&amp;AC99&amp;"_"&amp;TEXT(F99, "000")&amp;"_"&amp;TEXT(G99, "000")&amp;"_"&amp;H99&amp;".csv"</f>
        <v>Raman_EG_Pavlovagyrans_raw_002_002_E6.csv</v>
      </c>
      <c r="B99" t="s">
        <v>255</v>
      </c>
      <c r="C99" t="s">
        <v>30</v>
      </c>
      <c r="D99" t="s">
        <v>30</v>
      </c>
      <c r="E99" t="s">
        <v>31</v>
      </c>
      <c r="F99">
        <v>2</v>
      </c>
      <c r="G99">
        <v>2</v>
      </c>
      <c r="H99" t="s">
        <v>87</v>
      </c>
      <c r="I99" t="s">
        <v>256</v>
      </c>
      <c r="J99" t="s">
        <v>34</v>
      </c>
      <c r="L99" t="s">
        <v>30</v>
      </c>
      <c r="M99">
        <v>22</v>
      </c>
      <c r="N99" t="s">
        <v>92</v>
      </c>
      <c r="O99" t="s">
        <v>173</v>
      </c>
      <c r="P99">
        <v>0</v>
      </c>
      <c r="Q99">
        <v>100</v>
      </c>
      <c r="R99" t="s">
        <v>36</v>
      </c>
      <c r="S99">
        <v>12</v>
      </c>
      <c r="T99">
        <v>12</v>
      </c>
      <c r="U99" t="s">
        <v>112</v>
      </c>
      <c r="V99" t="s">
        <v>37</v>
      </c>
      <c r="W99">
        <v>450</v>
      </c>
      <c r="X99">
        <v>532</v>
      </c>
      <c r="Y99">
        <v>8.3000000000000007</v>
      </c>
      <c r="Z99">
        <v>500</v>
      </c>
      <c r="AA99">
        <v>2000</v>
      </c>
      <c r="AB99">
        <v>50</v>
      </c>
      <c r="AC99" t="s">
        <v>40</v>
      </c>
    </row>
    <row r="100" spans="1:29" x14ac:dyDescent="0.25">
      <c r="A100" t="str">
        <f>"Raman_"&amp;E100&amp;"_"&amp;B100&amp;"_"&amp;AC100&amp;"_"&amp;TEXT(F100, "000")&amp;"_"&amp;TEXT(G100, "000")&amp;"_"&amp;H100&amp;".csv"</f>
        <v>Raman_EG_Pavlovagyrans_raw_002_002_E7.csv</v>
      </c>
      <c r="B100" t="s">
        <v>255</v>
      </c>
      <c r="C100" t="s">
        <v>30</v>
      </c>
      <c r="D100" t="s">
        <v>30</v>
      </c>
      <c r="E100" t="s">
        <v>31</v>
      </c>
      <c r="F100">
        <v>2</v>
      </c>
      <c r="G100">
        <v>2</v>
      </c>
      <c r="H100" t="s">
        <v>89</v>
      </c>
      <c r="I100" t="s">
        <v>256</v>
      </c>
      <c r="J100" t="s">
        <v>34</v>
      </c>
      <c r="L100" t="s">
        <v>30</v>
      </c>
      <c r="M100">
        <v>22</v>
      </c>
      <c r="N100" t="s">
        <v>54</v>
      </c>
      <c r="O100" t="s">
        <v>173</v>
      </c>
      <c r="P100">
        <v>0</v>
      </c>
      <c r="Q100">
        <v>100</v>
      </c>
      <c r="R100" t="s">
        <v>36</v>
      </c>
      <c r="S100">
        <v>12</v>
      </c>
      <c r="T100">
        <v>12</v>
      </c>
      <c r="U100" t="s">
        <v>112</v>
      </c>
      <c r="V100" t="s">
        <v>37</v>
      </c>
      <c r="W100">
        <v>450</v>
      </c>
      <c r="X100">
        <v>532</v>
      </c>
      <c r="Y100">
        <v>8.3000000000000007</v>
      </c>
      <c r="Z100">
        <v>500</v>
      </c>
      <c r="AA100">
        <v>2000</v>
      </c>
      <c r="AB100">
        <v>50</v>
      </c>
      <c r="AC100" t="s">
        <v>40</v>
      </c>
    </row>
    <row r="101" spans="1:29" x14ac:dyDescent="0.25">
      <c r="A101" t="str">
        <f>"Raman_"&amp;E101&amp;"_"&amp;B101&amp;"_"&amp;AC101&amp;"_"&amp;TEXT(F101, "000")&amp;"_"&amp;TEXT(G101, "000")&amp;"_"&amp;H101&amp;".csv"</f>
        <v>Raman_EG_Pavlovagyrans_raw_002_002_E8.csv</v>
      </c>
      <c r="B101" t="s">
        <v>255</v>
      </c>
      <c r="C101" t="s">
        <v>30</v>
      </c>
      <c r="D101" t="s">
        <v>30</v>
      </c>
      <c r="E101" t="s">
        <v>31</v>
      </c>
      <c r="F101">
        <v>2</v>
      </c>
      <c r="G101">
        <v>2</v>
      </c>
      <c r="H101" t="s">
        <v>91</v>
      </c>
      <c r="I101" t="s">
        <v>256</v>
      </c>
      <c r="J101" t="s">
        <v>34</v>
      </c>
      <c r="L101" t="s">
        <v>30</v>
      </c>
      <c r="M101">
        <v>22</v>
      </c>
      <c r="N101" t="s">
        <v>94</v>
      </c>
      <c r="O101" t="s">
        <v>173</v>
      </c>
      <c r="P101">
        <v>0</v>
      </c>
      <c r="Q101">
        <v>100</v>
      </c>
      <c r="R101" t="s">
        <v>36</v>
      </c>
      <c r="S101">
        <v>12</v>
      </c>
      <c r="T101">
        <v>12</v>
      </c>
      <c r="U101" t="s">
        <v>112</v>
      </c>
      <c r="V101" t="s">
        <v>37</v>
      </c>
      <c r="W101">
        <v>450</v>
      </c>
      <c r="X101">
        <v>532</v>
      </c>
      <c r="Y101">
        <v>8.3000000000000007</v>
      </c>
      <c r="Z101">
        <v>500</v>
      </c>
      <c r="AA101">
        <v>2000</v>
      </c>
      <c r="AB101">
        <v>50</v>
      </c>
      <c r="AC101" t="s">
        <v>40</v>
      </c>
    </row>
    <row r="102" spans="1:29" x14ac:dyDescent="0.25">
      <c r="A102" t="str">
        <f>"Raman_"&amp;E102&amp;"_"&amp;B102&amp;"_"&amp;AC102&amp;"_"&amp;TEXT(F102, "000")&amp;"_"&amp;TEXT(G102, "000")&amp;"_"&amp;H102&amp;".csv"</f>
        <v>Raman_EG_Pavlovagyrans_raw_002_002_E9.csv</v>
      </c>
      <c r="B102" t="s">
        <v>255</v>
      </c>
      <c r="C102" t="s">
        <v>30</v>
      </c>
      <c r="D102" t="s">
        <v>30</v>
      </c>
      <c r="E102" t="s">
        <v>31</v>
      </c>
      <c r="F102">
        <v>2</v>
      </c>
      <c r="G102">
        <v>2</v>
      </c>
      <c r="H102" t="s">
        <v>93</v>
      </c>
      <c r="I102" t="s">
        <v>256</v>
      </c>
      <c r="J102" t="s">
        <v>34</v>
      </c>
      <c r="L102" t="s">
        <v>30</v>
      </c>
      <c r="M102">
        <v>22</v>
      </c>
      <c r="N102" t="s">
        <v>56</v>
      </c>
      <c r="O102" t="s">
        <v>173</v>
      </c>
      <c r="P102">
        <v>0</v>
      </c>
      <c r="Q102">
        <v>100</v>
      </c>
      <c r="R102" t="s">
        <v>36</v>
      </c>
      <c r="S102">
        <v>12</v>
      </c>
      <c r="T102">
        <v>12</v>
      </c>
      <c r="U102" t="s">
        <v>112</v>
      </c>
      <c r="V102" t="s">
        <v>37</v>
      </c>
      <c r="W102">
        <v>450</v>
      </c>
      <c r="X102">
        <v>532</v>
      </c>
      <c r="Y102">
        <v>8.3000000000000007</v>
      </c>
      <c r="Z102">
        <v>500</v>
      </c>
      <c r="AA102">
        <v>2000</v>
      </c>
      <c r="AB102">
        <v>50</v>
      </c>
      <c r="AC102" t="s">
        <v>40</v>
      </c>
    </row>
    <row r="103" spans="1:29" x14ac:dyDescent="0.25">
      <c r="A103" t="str">
        <f>"Raman_"&amp;E103&amp;"_"&amp;B103&amp;"_"&amp;AC103&amp;"_"&amp;TEXT(F103, "000")&amp;"_"&amp;TEXT(G103, "000")&amp;"_"&amp;H103&amp;".csv"</f>
        <v>Raman_EG_Pavlovagyrans_raw_002_002_E10.csv</v>
      </c>
      <c r="B103" t="s">
        <v>255</v>
      </c>
      <c r="C103" t="s">
        <v>30</v>
      </c>
      <c r="D103" t="s">
        <v>30</v>
      </c>
      <c r="E103" t="s">
        <v>31</v>
      </c>
      <c r="F103">
        <v>2</v>
      </c>
      <c r="G103">
        <v>2</v>
      </c>
      <c r="H103" t="s">
        <v>95</v>
      </c>
      <c r="I103" t="s">
        <v>256</v>
      </c>
      <c r="J103" t="s">
        <v>34</v>
      </c>
      <c r="L103" t="s">
        <v>30</v>
      </c>
      <c r="M103">
        <v>22</v>
      </c>
      <c r="N103" t="s">
        <v>96</v>
      </c>
      <c r="O103" t="s">
        <v>173</v>
      </c>
      <c r="P103">
        <v>0</v>
      </c>
      <c r="Q103">
        <v>100</v>
      </c>
      <c r="R103" t="s">
        <v>36</v>
      </c>
      <c r="S103">
        <v>12</v>
      </c>
      <c r="T103">
        <v>12</v>
      </c>
      <c r="U103" t="s">
        <v>112</v>
      </c>
      <c r="V103" t="s">
        <v>37</v>
      </c>
      <c r="W103">
        <v>450</v>
      </c>
      <c r="X103">
        <v>532</v>
      </c>
      <c r="Y103">
        <v>8.3000000000000007</v>
      </c>
      <c r="Z103">
        <v>500</v>
      </c>
      <c r="AA103">
        <v>2000</v>
      </c>
      <c r="AB103">
        <v>50</v>
      </c>
      <c r="AC103" t="s">
        <v>40</v>
      </c>
    </row>
    <row r="104" spans="1:29" x14ac:dyDescent="0.25">
      <c r="A104" t="str">
        <f>"Raman_"&amp;E104&amp;"_"&amp;B104&amp;"_"&amp;AC104&amp;"_"&amp;TEXT(F104, "000")&amp;"_"&amp;TEXT(G104, "000")&amp;"_"&amp;H104&amp;".csv"</f>
        <v>Raman_EG_Pavlovagyrans_raw_002_002_E11.csv</v>
      </c>
      <c r="B104" t="s">
        <v>255</v>
      </c>
      <c r="C104" t="s">
        <v>30</v>
      </c>
      <c r="D104" t="s">
        <v>30</v>
      </c>
      <c r="E104" t="s">
        <v>31</v>
      </c>
      <c r="F104">
        <v>2</v>
      </c>
      <c r="G104">
        <v>2</v>
      </c>
      <c r="H104" t="s">
        <v>97</v>
      </c>
      <c r="I104" t="s">
        <v>256</v>
      </c>
      <c r="J104" t="s">
        <v>34</v>
      </c>
      <c r="L104" t="s">
        <v>30</v>
      </c>
      <c r="M104">
        <v>22</v>
      </c>
      <c r="N104" t="s">
        <v>58</v>
      </c>
      <c r="O104" t="s">
        <v>173</v>
      </c>
      <c r="P104">
        <v>0</v>
      </c>
      <c r="Q104">
        <v>100</v>
      </c>
      <c r="R104" t="s">
        <v>36</v>
      </c>
      <c r="S104">
        <v>12</v>
      </c>
      <c r="T104">
        <v>12</v>
      </c>
      <c r="U104" t="s">
        <v>112</v>
      </c>
      <c r="V104" t="s">
        <v>37</v>
      </c>
      <c r="W104">
        <v>450</v>
      </c>
      <c r="X104">
        <v>532</v>
      </c>
      <c r="Y104">
        <v>8.3000000000000007</v>
      </c>
      <c r="Z104">
        <v>500</v>
      </c>
      <c r="AA104">
        <v>2000</v>
      </c>
      <c r="AB104">
        <v>50</v>
      </c>
      <c r="AC104" t="s">
        <v>40</v>
      </c>
    </row>
    <row r="105" spans="1:29" x14ac:dyDescent="0.25">
      <c r="A105" t="str">
        <f>"Raman_"&amp;E105&amp;"_"&amp;B105&amp;"_"&amp;AC105&amp;"_"&amp;TEXT(F105, "000")&amp;"_"&amp;TEXT(G105, "000")&amp;"_"&amp;H105&amp;".csv"</f>
        <v>Raman_EG_Pavlovagyrans_raw_002_002_F1.csv</v>
      </c>
      <c r="B105" t="s">
        <v>255</v>
      </c>
      <c r="C105" t="s">
        <v>30</v>
      </c>
      <c r="D105" t="s">
        <v>30</v>
      </c>
      <c r="E105" t="s">
        <v>31</v>
      </c>
      <c r="F105">
        <v>2</v>
      </c>
      <c r="G105">
        <v>2</v>
      </c>
      <c r="H105" t="s">
        <v>164</v>
      </c>
      <c r="I105" t="s">
        <v>256</v>
      </c>
      <c r="J105" t="s">
        <v>34</v>
      </c>
      <c r="L105" t="s">
        <v>30</v>
      </c>
      <c r="M105">
        <v>22</v>
      </c>
      <c r="N105" t="s">
        <v>48</v>
      </c>
      <c r="O105" t="s">
        <v>173</v>
      </c>
      <c r="P105">
        <v>0</v>
      </c>
      <c r="Q105">
        <v>100</v>
      </c>
      <c r="R105" t="s">
        <v>36</v>
      </c>
      <c r="S105">
        <v>12</v>
      </c>
      <c r="T105">
        <v>12</v>
      </c>
      <c r="U105" t="s">
        <v>112</v>
      </c>
      <c r="V105" t="s">
        <v>37</v>
      </c>
      <c r="W105">
        <v>450</v>
      </c>
      <c r="X105">
        <v>532</v>
      </c>
      <c r="Y105">
        <v>8.3000000000000007</v>
      </c>
      <c r="Z105">
        <v>500</v>
      </c>
      <c r="AA105">
        <v>2000</v>
      </c>
      <c r="AB105">
        <v>50</v>
      </c>
      <c r="AC105" t="s">
        <v>40</v>
      </c>
    </row>
    <row r="106" spans="1:29" x14ac:dyDescent="0.25">
      <c r="A106" t="str">
        <f>"Raman_"&amp;E106&amp;"_"&amp;B106&amp;"_"&amp;AC106&amp;"_"&amp;TEXT(F106, "000")&amp;"_"&amp;TEXT(G106, "000")&amp;"_"&amp;H106&amp;".csv"</f>
        <v>Raman_EG_Pavlovagyrans_raw_002_002_F2.csv</v>
      </c>
      <c r="B106" t="s">
        <v>255</v>
      </c>
      <c r="C106" t="s">
        <v>30</v>
      </c>
      <c r="D106" t="s">
        <v>30</v>
      </c>
      <c r="E106" t="s">
        <v>31</v>
      </c>
      <c r="F106">
        <v>2</v>
      </c>
      <c r="G106">
        <v>2</v>
      </c>
      <c r="H106" t="s">
        <v>98</v>
      </c>
      <c r="I106" t="s">
        <v>256</v>
      </c>
      <c r="J106" t="s">
        <v>34</v>
      </c>
      <c r="L106" t="s">
        <v>30</v>
      </c>
      <c r="M106">
        <v>22</v>
      </c>
      <c r="N106" t="s">
        <v>88</v>
      </c>
      <c r="O106" t="s">
        <v>173</v>
      </c>
      <c r="P106">
        <v>0</v>
      </c>
      <c r="Q106">
        <v>100</v>
      </c>
      <c r="R106" t="s">
        <v>36</v>
      </c>
      <c r="S106">
        <v>12</v>
      </c>
      <c r="T106">
        <v>12</v>
      </c>
      <c r="U106" t="s">
        <v>112</v>
      </c>
      <c r="V106" t="s">
        <v>37</v>
      </c>
      <c r="W106">
        <v>450</v>
      </c>
      <c r="X106">
        <v>532</v>
      </c>
      <c r="Y106">
        <v>8.3000000000000007</v>
      </c>
      <c r="Z106">
        <v>500</v>
      </c>
      <c r="AA106">
        <v>2000</v>
      </c>
      <c r="AB106">
        <v>50</v>
      </c>
      <c r="AC106" t="s">
        <v>40</v>
      </c>
    </row>
    <row r="107" spans="1:29" x14ac:dyDescent="0.25">
      <c r="A107" t="str">
        <f>"Raman_"&amp;E107&amp;"_"&amp;B107&amp;"_"&amp;AC107&amp;"_"&amp;TEXT(F107, "000")&amp;"_"&amp;TEXT(G107, "000")&amp;"_"&amp;H107&amp;".csv"</f>
        <v>Raman_EG_Pavlovagyrans_raw_002_002_F3.csv</v>
      </c>
      <c r="B107" t="s">
        <v>255</v>
      </c>
      <c r="C107" t="s">
        <v>30</v>
      </c>
      <c r="D107" t="s">
        <v>30</v>
      </c>
      <c r="E107" t="s">
        <v>31</v>
      </c>
      <c r="F107">
        <v>2</v>
      </c>
      <c r="G107">
        <v>2</v>
      </c>
      <c r="H107" t="s">
        <v>99</v>
      </c>
      <c r="I107" t="s">
        <v>256</v>
      </c>
      <c r="J107" t="s">
        <v>34</v>
      </c>
      <c r="L107" t="s">
        <v>30</v>
      </c>
      <c r="M107">
        <v>22</v>
      </c>
      <c r="N107" t="s">
        <v>50</v>
      </c>
      <c r="O107" t="s">
        <v>173</v>
      </c>
      <c r="P107">
        <v>0</v>
      </c>
      <c r="Q107">
        <v>100</v>
      </c>
      <c r="R107" t="s">
        <v>36</v>
      </c>
      <c r="S107">
        <v>12</v>
      </c>
      <c r="T107">
        <v>12</v>
      </c>
      <c r="U107" t="s">
        <v>112</v>
      </c>
      <c r="V107" t="s">
        <v>37</v>
      </c>
      <c r="W107">
        <v>450</v>
      </c>
      <c r="X107">
        <v>532</v>
      </c>
      <c r="Y107">
        <v>8.3000000000000007</v>
      </c>
      <c r="Z107">
        <v>500</v>
      </c>
      <c r="AA107">
        <v>2000</v>
      </c>
      <c r="AB107">
        <v>50</v>
      </c>
      <c r="AC107" t="s">
        <v>40</v>
      </c>
    </row>
    <row r="108" spans="1:29" x14ac:dyDescent="0.25">
      <c r="A108" t="str">
        <f>"Raman_"&amp;E108&amp;"_"&amp;B108&amp;"_"&amp;AC108&amp;"_"&amp;TEXT(F108, "000")&amp;"_"&amp;TEXT(G108, "000")&amp;"_"&amp;H108&amp;".csv"</f>
        <v>Raman_EG_Pavlovagyrans_raw_002_002_F4.csv</v>
      </c>
      <c r="B108" t="s">
        <v>255</v>
      </c>
      <c r="C108" t="s">
        <v>30</v>
      </c>
      <c r="D108" t="s">
        <v>30</v>
      </c>
      <c r="E108" t="s">
        <v>31</v>
      </c>
      <c r="F108">
        <v>2</v>
      </c>
      <c r="G108">
        <v>2</v>
      </c>
      <c r="H108" t="s">
        <v>100</v>
      </c>
      <c r="I108" t="s">
        <v>256</v>
      </c>
      <c r="J108" t="s">
        <v>34</v>
      </c>
      <c r="L108" t="s">
        <v>30</v>
      </c>
      <c r="M108">
        <v>22</v>
      </c>
      <c r="N108" t="s">
        <v>90</v>
      </c>
      <c r="O108" t="s">
        <v>173</v>
      </c>
      <c r="P108">
        <v>0</v>
      </c>
      <c r="Q108">
        <v>100</v>
      </c>
      <c r="R108" t="s">
        <v>36</v>
      </c>
      <c r="S108">
        <v>12</v>
      </c>
      <c r="T108">
        <v>12</v>
      </c>
      <c r="U108" t="s">
        <v>112</v>
      </c>
      <c r="V108" t="s">
        <v>37</v>
      </c>
      <c r="W108">
        <v>450</v>
      </c>
      <c r="X108">
        <v>532</v>
      </c>
      <c r="Y108">
        <v>8.3000000000000007</v>
      </c>
      <c r="Z108">
        <v>500</v>
      </c>
      <c r="AA108">
        <v>2000</v>
      </c>
      <c r="AB108">
        <v>50</v>
      </c>
      <c r="AC108" t="s">
        <v>40</v>
      </c>
    </row>
    <row r="109" spans="1:29" x14ac:dyDescent="0.25">
      <c r="A109" t="str">
        <f>"Raman_"&amp;E109&amp;"_"&amp;B109&amp;"_"&amp;AC109&amp;"_"&amp;TEXT(F109, "000")&amp;"_"&amp;TEXT(G109, "000")&amp;"_"&amp;H109&amp;".csv"</f>
        <v>Raman_EG_Pavlovagyrans_raw_002_002_F5.csv</v>
      </c>
      <c r="B109" t="s">
        <v>255</v>
      </c>
      <c r="C109" t="s">
        <v>30</v>
      </c>
      <c r="D109" t="s">
        <v>30</v>
      </c>
      <c r="E109" t="s">
        <v>31</v>
      </c>
      <c r="F109">
        <v>2</v>
      </c>
      <c r="G109">
        <v>2</v>
      </c>
      <c r="H109" t="s">
        <v>101</v>
      </c>
      <c r="I109" t="s">
        <v>256</v>
      </c>
      <c r="J109" t="s">
        <v>34</v>
      </c>
      <c r="L109" t="s">
        <v>30</v>
      </c>
      <c r="M109">
        <v>22</v>
      </c>
      <c r="N109" t="s">
        <v>52</v>
      </c>
      <c r="O109" t="s">
        <v>173</v>
      </c>
      <c r="P109">
        <v>0</v>
      </c>
      <c r="Q109">
        <v>100</v>
      </c>
      <c r="R109" t="s">
        <v>36</v>
      </c>
      <c r="S109">
        <v>12</v>
      </c>
      <c r="T109">
        <v>12</v>
      </c>
      <c r="U109" t="s">
        <v>112</v>
      </c>
      <c r="V109" t="s">
        <v>37</v>
      </c>
      <c r="W109">
        <v>450</v>
      </c>
      <c r="X109">
        <v>532</v>
      </c>
      <c r="Y109">
        <v>8.3000000000000007</v>
      </c>
      <c r="Z109">
        <v>500</v>
      </c>
      <c r="AA109">
        <v>2000</v>
      </c>
      <c r="AB109">
        <v>50</v>
      </c>
      <c r="AC109" t="s">
        <v>40</v>
      </c>
    </row>
    <row r="110" spans="1:29" x14ac:dyDescent="0.25">
      <c r="A110" t="str">
        <f>"Raman_"&amp;E110&amp;"_"&amp;B110&amp;"_"&amp;AC110&amp;"_"&amp;TEXT(F110, "000")&amp;"_"&amp;TEXT(G110, "000")&amp;"_"&amp;H110&amp;".csv"</f>
        <v>Raman_EG_Pavlovagyrans_raw_002_002_F6.csv</v>
      </c>
      <c r="B110" t="s">
        <v>255</v>
      </c>
      <c r="C110" t="s">
        <v>30</v>
      </c>
      <c r="D110" t="s">
        <v>30</v>
      </c>
      <c r="E110" t="s">
        <v>31</v>
      </c>
      <c r="F110">
        <v>2</v>
      </c>
      <c r="G110">
        <v>2</v>
      </c>
      <c r="H110" t="s">
        <v>102</v>
      </c>
      <c r="I110" t="s">
        <v>256</v>
      </c>
      <c r="J110" t="s">
        <v>34</v>
      </c>
      <c r="L110" t="s">
        <v>30</v>
      </c>
      <c r="M110">
        <v>22</v>
      </c>
      <c r="N110" t="s">
        <v>92</v>
      </c>
      <c r="O110" t="s">
        <v>173</v>
      </c>
      <c r="P110">
        <v>0</v>
      </c>
      <c r="Q110">
        <v>100</v>
      </c>
      <c r="R110" t="s">
        <v>36</v>
      </c>
      <c r="S110">
        <v>12</v>
      </c>
      <c r="T110">
        <v>12</v>
      </c>
      <c r="U110" t="s">
        <v>112</v>
      </c>
      <c r="V110" t="s">
        <v>37</v>
      </c>
      <c r="W110">
        <v>450</v>
      </c>
      <c r="X110">
        <v>532</v>
      </c>
      <c r="Y110">
        <v>8.3000000000000007</v>
      </c>
      <c r="Z110">
        <v>500</v>
      </c>
      <c r="AA110">
        <v>2000</v>
      </c>
      <c r="AB110">
        <v>50</v>
      </c>
      <c r="AC110" t="s">
        <v>40</v>
      </c>
    </row>
    <row r="111" spans="1:29" x14ac:dyDescent="0.25">
      <c r="A111" t="str">
        <f>"Raman_"&amp;E111&amp;"_"&amp;B111&amp;"_"&amp;AC111&amp;"_"&amp;TEXT(F111, "000")&amp;"_"&amp;TEXT(G111, "000")&amp;"_"&amp;H111&amp;".csv"</f>
        <v>Raman_EG_Pavlovagyrans_raw_002_002_F7.csv</v>
      </c>
      <c r="B111" t="s">
        <v>255</v>
      </c>
      <c r="C111" t="s">
        <v>30</v>
      </c>
      <c r="D111" t="s">
        <v>30</v>
      </c>
      <c r="E111" t="s">
        <v>31</v>
      </c>
      <c r="F111">
        <v>2</v>
      </c>
      <c r="G111">
        <v>2</v>
      </c>
      <c r="H111" t="s">
        <v>103</v>
      </c>
      <c r="I111" t="s">
        <v>256</v>
      </c>
      <c r="J111" t="s">
        <v>34</v>
      </c>
      <c r="L111" t="s">
        <v>30</v>
      </c>
      <c r="M111">
        <v>22</v>
      </c>
      <c r="N111" t="s">
        <v>54</v>
      </c>
      <c r="O111" t="s">
        <v>173</v>
      </c>
      <c r="P111">
        <v>0</v>
      </c>
      <c r="Q111">
        <v>100</v>
      </c>
      <c r="R111" t="s">
        <v>36</v>
      </c>
      <c r="S111">
        <v>12</v>
      </c>
      <c r="T111">
        <v>12</v>
      </c>
      <c r="U111" t="s">
        <v>112</v>
      </c>
      <c r="V111" t="s">
        <v>37</v>
      </c>
      <c r="W111">
        <v>450</v>
      </c>
      <c r="X111">
        <v>532</v>
      </c>
      <c r="Y111">
        <v>8.3000000000000007</v>
      </c>
      <c r="Z111">
        <v>500</v>
      </c>
      <c r="AA111">
        <v>2000</v>
      </c>
      <c r="AB111">
        <v>50</v>
      </c>
      <c r="AC111" t="s">
        <v>40</v>
      </c>
    </row>
    <row r="112" spans="1:29" x14ac:dyDescent="0.25">
      <c r="A112" t="str">
        <f>"Raman_"&amp;E112&amp;"_"&amp;B112&amp;"_"&amp;AC112&amp;"_"&amp;TEXT(F112, "000")&amp;"_"&amp;TEXT(G112, "000")&amp;"_"&amp;H112&amp;".csv"</f>
        <v>Raman_EG_Pavlovagyrans_raw_002_002_F8.csv</v>
      </c>
      <c r="B112" t="s">
        <v>255</v>
      </c>
      <c r="C112" t="s">
        <v>30</v>
      </c>
      <c r="D112" t="s">
        <v>30</v>
      </c>
      <c r="E112" t="s">
        <v>31</v>
      </c>
      <c r="F112">
        <v>2</v>
      </c>
      <c r="G112">
        <v>2</v>
      </c>
      <c r="H112" t="s">
        <v>104</v>
      </c>
      <c r="I112" t="s">
        <v>256</v>
      </c>
      <c r="J112" t="s">
        <v>34</v>
      </c>
      <c r="L112" t="s">
        <v>30</v>
      </c>
      <c r="M112">
        <v>22</v>
      </c>
      <c r="N112" t="s">
        <v>94</v>
      </c>
      <c r="O112" t="s">
        <v>173</v>
      </c>
      <c r="P112">
        <v>0</v>
      </c>
      <c r="Q112">
        <v>100</v>
      </c>
      <c r="R112" t="s">
        <v>36</v>
      </c>
      <c r="S112">
        <v>12</v>
      </c>
      <c r="T112">
        <v>12</v>
      </c>
      <c r="U112" t="s">
        <v>112</v>
      </c>
      <c r="V112" t="s">
        <v>37</v>
      </c>
      <c r="W112">
        <v>450</v>
      </c>
      <c r="X112">
        <v>532</v>
      </c>
      <c r="Y112">
        <v>8.3000000000000007</v>
      </c>
      <c r="Z112">
        <v>500</v>
      </c>
      <c r="AA112">
        <v>2000</v>
      </c>
      <c r="AB112">
        <v>50</v>
      </c>
      <c r="AC112" t="s">
        <v>40</v>
      </c>
    </row>
    <row r="113" spans="1:29" x14ac:dyDescent="0.25">
      <c r="A113" t="str">
        <f>"Raman_"&amp;E113&amp;"_"&amp;B113&amp;"_"&amp;AC113&amp;"_"&amp;TEXT(F113, "000")&amp;"_"&amp;TEXT(G113, "000")&amp;"_"&amp;H113&amp;".csv"</f>
        <v>Raman_EG_Pavlovagyrans_raw_002_002_F9.csv</v>
      </c>
      <c r="B113" t="s">
        <v>255</v>
      </c>
      <c r="C113" t="s">
        <v>30</v>
      </c>
      <c r="D113" t="s">
        <v>30</v>
      </c>
      <c r="E113" t="s">
        <v>31</v>
      </c>
      <c r="F113">
        <v>2</v>
      </c>
      <c r="G113">
        <v>2</v>
      </c>
      <c r="H113" t="s">
        <v>105</v>
      </c>
      <c r="I113" t="s">
        <v>256</v>
      </c>
      <c r="J113" t="s">
        <v>34</v>
      </c>
      <c r="L113" t="s">
        <v>30</v>
      </c>
      <c r="M113">
        <v>22</v>
      </c>
      <c r="N113" t="s">
        <v>56</v>
      </c>
      <c r="O113" t="s">
        <v>173</v>
      </c>
      <c r="P113">
        <v>0</v>
      </c>
      <c r="Q113">
        <v>100</v>
      </c>
      <c r="R113" t="s">
        <v>36</v>
      </c>
      <c r="S113">
        <v>12</v>
      </c>
      <c r="T113">
        <v>12</v>
      </c>
      <c r="U113" t="s">
        <v>112</v>
      </c>
      <c r="V113" t="s">
        <v>37</v>
      </c>
      <c r="W113">
        <v>450</v>
      </c>
      <c r="X113">
        <v>532</v>
      </c>
      <c r="Y113">
        <v>8.3000000000000007</v>
      </c>
      <c r="Z113">
        <v>500</v>
      </c>
      <c r="AA113">
        <v>2000</v>
      </c>
      <c r="AB113">
        <v>50</v>
      </c>
      <c r="AC113" t="s">
        <v>40</v>
      </c>
    </row>
    <row r="114" spans="1:29" x14ac:dyDescent="0.25">
      <c r="A114" t="str">
        <f>"Raman_"&amp;E114&amp;"_"&amp;B114&amp;"_"&amp;AC114&amp;"_"&amp;TEXT(F114, "000")&amp;"_"&amp;TEXT(G114, "000")&amp;"_"&amp;H114&amp;".csv"</f>
        <v>Raman_EG_Pavlovagyrans_raw_002_002_F10.csv</v>
      </c>
      <c r="B114" t="s">
        <v>255</v>
      </c>
      <c r="C114" t="s">
        <v>30</v>
      </c>
      <c r="D114" t="s">
        <v>30</v>
      </c>
      <c r="E114" t="s">
        <v>31</v>
      </c>
      <c r="F114">
        <v>2</v>
      </c>
      <c r="G114">
        <v>2</v>
      </c>
      <c r="H114" t="s">
        <v>106</v>
      </c>
      <c r="I114" t="s">
        <v>256</v>
      </c>
      <c r="J114" t="s">
        <v>34</v>
      </c>
      <c r="L114" t="s">
        <v>30</v>
      </c>
      <c r="M114">
        <v>22</v>
      </c>
      <c r="N114" t="s">
        <v>96</v>
      </c>
      <c r="O114" t="s">
        <v>173</v>
      </c>
      <c r="P114">
        <v>0</v>
      </c>
      <c r="Q114">
        <v>100</v>
      </c>
      <c r="R114" t="s">
        <v>36</v>
      </c>
      <c r="S114">
        <v>12</v>
      </c>
      <c r="T114">
        <v>12</v>
      </c>
      <c r="U114" t="s">
        <v>112</v>
      </c>
      <c r="V114" t="s">
        <v>37</v>
      </c>
      <c r="W114">
        <v>450</v>
      </c>
      <c r="X114">
        <v>532</v>
      </c>
      <c r="Y114">
        <v>8.3000000000000007</v>
      </c>
      <c r="Z114">
        <v>500</v>
      </c>
      <c r="AA114">
        <v>2000</v>
      </c>
      <c r="AB114">
        <v>50</v>
      </c>
      <c r="AC114" t="s">
        <v>40</v>
      </c>
    </row>
    <row r="115" spans="1:29" x14ac:dyDescent="0.25">
      <c r="A115" t="str">
        <f>"Raman_"&amp;E115&amp;"_"&amp;B115&amp;"_"&amp;AC115&amp;"_"&amp;TEXT(F115, "000")&amp;"_"&amp;TEXT(G115, "000")&amp;"_"&amp;H115&amp;".csv"</f>
        <v>Raman_EG_Pavlovagyrans_raw_002_002_F11.csv</v>
      </c>
      <c r="B115" t="s">
        <v>255</v>
      </c>
      <c r="C115" t="s">
        <v>30</v>
      </c>
      <c r="D115" t="s">
        <v>30</v>
      </c>
      <c r="E115" t="s">
        <v>31</v>
      </c>
      <c r="F115">
        <v>2</v>
      </c>
      <c r="G115">
        <v>2</v>
      </c>
      <c r="H115" t="s">
        <v>107</v>
      </c>
      <c r="I115" t="s">
        <v>256</v>
      </c>
      <c r="J115" t="s">
        <v>34</v>
      </c>
      <c r="L115" t="s">
        <v>30</v>
      </c>
      <c r="M115">
        <v>22</v>
      </c>
      <c r="N115" t="s">
        <v>58</v>
      </c>
      <c r="O115" t="s">
        <v>173</v>
      </c>
      <c r="P115">
        <v>0</v>
      </c>
      <c r="Q115">
        <v>100</v>
      </c>
      <c r="R115" t="s">
        <v>36</v>
      </c>
      <c r="S115">
        <v>12</v>
      </c>
      <c r="T115">
        <v>12</v>
      </c>
      <c r="U115" t="s">
        <v>112</v>
      </c>
      <c r="V115" t="s">
        <v>37</v>
      </c>
      <c r="W115">
        <v>450</v>
      </c>
      <c r="X115">
        <v>532</v>
      </c>
      <c r="Y115">
        <v>8.3000000000000007</v>
      </c>
      <c r="Z115">
        <v>500</v>
      </c>
      <c r="AA115">
        <v>2000</v>
      </c>
      <c r="AB115">
        <v>50</v>
      </c>
      <c r="AC115" t="s">
        <v>40</v>
      </c>
    </row>
    <row r="116" spans="1:29" x14ac:dyDescent="0.25">
      <c r="A116" t="str">
        <f>"Raman_"&amp;E116&amp;"_"&amp;B116&amp;"_"&amp;AC116&amp;"_"&amp;TEXT(F116, "000")&amp;"_"&amp;TEXT(G116, "000")&amp;"_"&amp;H116&amp;".csv"</f>
        <v>Raman_EG_Pavlovagyrans_raw_002_003_A1.csv</v>
      </c>
      <c r="B116" t="s">
        <v>255</v>
      </c>
      <c r="C116" t="s">
        <v>30</v>
      </c>
      <c r="D116" t="s">
        <v>30</v>
      </c>
      <c r="E116" t="s">
        <v>31</v>
      </c>
      <c r="F116">
        <v>2</v>
      </c>
      <c r="G116">
        <v>3</v>
      </c>
      <c r="H116" t="s">
        <v>110</v>
      </c>
      <c r="I116" t="s">
        <v>256</v>
      </c>
      <c r="J116" t="s">
        <v>34</v>
      </c>
      <c r="L116" t="s">
        <v>30</v>
      </c>
      <c r="M116">
        <v>22</v>
      </c>
      <c r="N116" t="s">
        <v>35</v>
      </c>
      <c r="O116" t="s">
        <v>242</v>
      </c>
      <c r="P116">
        <v>0</v>
      </c>
      <c r="Q116">
        <v>50</v>
      </c>
      <c r="R116" t="s">
        <v>36</v>
      </c>
      <c r="S116">
        <v>12</v>
      </c>
      <c r="T116">
        <v>12</v>
      </c>
      <c r="U116" t="s">
        <v>112</v>
      </c>
      <c r="V116" t="s">
        <v>37</v>
      </c>
      <c r="W116">
        <v>450</v>
      </c>
      <c r="X116">
        <v>532</v>
      </c>
      <c r="Y116">
        <v>8.3000000000000007</v>
      </c>
      <c r="Z116">
        <v>500</v>
      </c>
      <c r="AA116">
        <v>2000</v>
      </c>
      <c r="AB116">
        <v>50</v>
      </c>
      <c r="AC116" t="s">
        <v>40</v>
      </c>
    </row>
    <row r="117" spans="1:29" x14ac:dyDescent="0.25">
      <c r="A117" t="str">
        <f>"Raman_"&amp;E117&amp;"_"&amp;B117&amp;"_"&amp;AC117&amp;"_"&amp;TEXT(F117, "000")&amp;"_"&amp;TEXT(G117, "000")&amp;"_"&amp;H117&amp;".csv"</f>
        <v>Raman_EG_Pavlovagyrans_raw_002_003_A2.csv</v>
      </c>
      <c r="B117" t="s">
        <v>255</v>
      </c>
      <c r="C117" t="s">
        <v>30</v>
      </c>
      <c r="D117" t="s">
        <v>30</v>
      </c>
      <c r="E117" t="s">
        <v>31</v>
      </c>
      <c r="F117">
        <v>2</v>
      </c>
      <c r="G117">
        <v>3</v>
      </c>
      <c r="H117" t="s">
        <v>114</v>
      </c>
      <c r="I117" t="s">
        <v>256</v>
      </c>
      <c r="J117" t="s">
        <v>34</v>
      </c>
      <c r="L117" t="s">
        <v>30</v>
      </c>
      <c r="M117">
        <v>22</v>
      </c>
      <c r="N117" t="s">
        <v>80</v>
      </c>
      <c r="O117" t="s">
        <v>242</v>
      </c>
      <c r="P117">
        <v>0</v>
      </c>
      <c r="Q117">
        <v>50</v>
      </c>
      <c r="R117" t="s">
        <v>36</v>
      </c>
      <c r="S117">
        <v>12</v>
      </c>
      <c r="T117">
        <v>12</v>
      </c>
      <c r="U117" t="s">
        <v>112</v>
      </c>
      <c r="V117" t="s">
        <v>37</v>
      </c>
      <c r="W117">
        <v>450</v>
      </c>
      <c r="X117">
        <v>532</v>
      </c>
      <c r="Y117">
        <v>8.3000000000000007</v>
      </c>
      <c r="Z117">
        <v>500</v>
      </c>
      <c r="AA117">
        <v>2000</v>
      </c>
      <c r="AB117">
        <v>50</v>
      </c>
      <c r="AC117" t="s">
        <v>40</v>
      </c>
    </row>
    <row r="118" spans="1:29" x14ac:dyDescent="0.25">
      <c r="A118" t="str">
        <f>"Raman_"&amp;E118&amp;"_"&amp;B118&amp;"_"&amp;AC118&amp;"_"&amp;TEXT(F118, "000")&amp;"_"&amp;TEXT(G118, "000")&amp;"_"&amp;H118&amp;".csv"</f>
        <v>Raman_EG_Pavlovagyrans_raw_002_003_A3.csv</v>
      </c>
      <c r="B118" t="s">
        <v>255</v>
      </c>
      <c r="C118" t="s">
        <v>30</v>
      </c>
      <c r="D118" t="s">
        <v>30</v>
      </c>
      <c r="E118" t="s">
        <v>31</v>
      </c>
      <c r="F118">
        <v>2</v>
      </c>
      <c r="G118">
        <v>3</v>
      </c>
      <c r="H118" t="s">
        <v>116</v>
      </c>
      <c r="I118" t="s">
        <v>256</v>
      </c>
      <c r="J118" t="s">
        <v>34</v>
      </c>
      <c r="L118" t="s">
        <v>30</v>
      </c>
      <c r="M118">
        <v>22</v>
      </c>
      <c r="N118" t="s">
        <v>42</v>
      </c>
      <c r="O118" t="s">
        <v>242</v>
      </c>
      <c r="P118">
        <v>0</v>
      </c>
      <c r="Q118">
        <v>50</v>
      </c>
      <c r="R118" t="s">
        <v>36</v>
      </c>
      <c r="S118">
        <v>12</v>
      </c>
      <c r="T118">
        <v>12</v>
      </c>
      <c r="U118" t="s">
        <v>112</v>
      </c>
      <c r="V118" t="s">
        <v>37</v>
      </c>
      <c r="W118">
        <v>450</v>
      </c>
      <c r="X118">
        <v>532</v>
      </c>
      <c r="Y118">
        <v>8.3000000000000007</v>
      </c>
      <c r="Z118">
        <v>500</v>
      </c>
      <c r="AA118">
        <v>2000</v>
      </c>
      <c r="AB118">
        <v>50</v>
      </c>
      <c r="AC118" t="s">
        <v>40</v>
      </c>
    </row>
    <row r="119" spans="1:29" x14ac:dyDescent="0.25">
      <c r="A119" t="str">
        <f>"Raman_"&amp;E119&amp;"_"&amp;B119&amp;"_"&amp;AC119&amp;"_"&amp;TEXT(F119, "000")&amp;"_"&amp;TEXT(G119, "000")&amp;"_"&amp;H119&amp;".csv"</f>
        <v>Raman_EG_Pavlovagyrans_raw_002_003_A4.csv</v>
      </c>
      <c r="B119" t="s">
        <v>255</v>
      </c>
      <c r="C119" t="s">
        <v>30</v>
      </c>
      <c r="D119" t="s">
        <v>30</v>
      </c>
      <c r="E119" t="s">
        <v>31</v>
      </c>
      <c r="F119">
        <v>2</v>
      </c>
      <c r="G119">
        <v>3</v>
      </c>
      <c r="H119" t="s">
        <v>118</v>
      </c>
      <c r="I119" t="s">
        <v>256</v>
      </c>
      <c r="J119" t="s">
        <v>34</v>
      </c>
      <c r="L119" t="s">
        <v>30</v>
      </c>
      <c r="M119">
        <v>22</v>
      </c>
      <c r="N119" t="s">
        <v>82</v>
      </c>
      <c r="O119" t="s">
        <v>242</v>
      </c>
      <c r="P119">
        <v>0</v>
      </c>
      <c r="Q119">
        <v>50</v>
      </c>
      <c r="R119" t="s">
        <v>36</v>
      </c>
      <c r="S119">
        <v>12</v>
      </c>
      <c r="T119">
        <v>12</v>
      </c>
      <c r="U119" t="s">
        <v>112</v>
      </c>
      <c r="V119" t="s">
        <v>37</v>
      </c>
      <c r="W119">
        <v>450</v>
      </c>
      <c r="X119">
        <v>532</v>
      </c>
      <c r="Y119">
        <v>8.3000000000000007</v>
      </c>
      <c r="Z119">
        <v>500</v>
      </c>
      <c r="AA119">
        <v>2000</v>
      </c>
      <c r="AB119">
        <v>50</v>
      </c>
      <c r="AC119" t="s">
        <v>40</v>
      </c>
    </row>
    <row r="120" spans="1:29" x14ac:dyDescent="0.25">
      <c r="A120" t="str">
        <f>"Raman_"&amp;E120&amp;"_"&amp;B120&amp;"_"&amp;AC120&amp;"_"&amp;TEXT(F120, "000")&amp;"_"&amp;TEXT(G120, "000")&amp;"_"&amp;H120&amp;".csv"</f>
        <v>Raman_EG_Pavlovagyrans_raw_002_003_A5.csv</v>
      </c>
      <c r="B120" t="s">
        <v>255</v>
      </c>
      <c r="C120" t="s">
        <v>30</v>
      </c>
      <c r="D120" t="s">
        <v>30</v>
      </c>
      <c r="E120" t="s">
        <v>31</v>
      </c>
      <c r="F120">
        <v>2</v>
      </c>
      <c r="G120">
        <v>3</v>
      </c>
      <c r="H120" t="s">
        <v>120</v>
      </c>
      <c r="I120" t="s">
        <v>256</v>
      </c>
      <c r="J120" t="s">
        <v>34</v>
      </c>
      <c r="L120" t="s">
        <v>30</v>
      </c>
      <c r="M120">
        <v>22</v>
      </c>
      <c r="N120" t="s">
        <v>44</v>
      </c>
      <c r="O120" t="s">
        <v>242</v>
      </c>
      <c r="P120">
        <v>0</v>
      </c>
      <c r="Q120">
        <v>50</v>
      </c>
      <c r="R120" t="s">
        <v>36</v>
      </c>
      <c r="S120">
        <v>12</v>
      </c>
      <c r="T120">
        <v>12</v>
      </c>
      <c r="U120" t="s">
        <v>112</v>
      </c>
      <c r="V120" t="s">
        <v>37</v>
      </c>
      <c r="W120">
        <v>450</v>
      </c>
      <c r="X120">
        <v>532</v>
      </c>
      <c r="Y120">
        <v>8.3000000000000007</v>
      </c>
      <c r="Z120">
        <v>500</v>
      </c>
      <c r="AA120">
        <v>2000</v>
      </c>
      <c r="AB120">
        <v>50</v>
      </c>
      <c r="AC120" t="s">
        <v>40</v>
      </c>
    </row>
    <row r="121" spans="1:29" x14ac:dyDescent="0.25">
      <c r="A121" t="str">
        <f>"Raman_"&amp;E121&amp;"_"&amp;B121&amp;"_"&amp;AC121&amp;"_"&amp;TEXT(F121, "000")&amp;"_"&amp;TEXT(G121, "000")&amp;"_"&amp;H121&amp;".csv"</f>
        <v>Raman_EG_Pavlovagyrans_raw_002_003_A6.csv</v>
      </c>
      <c r="B121" t="s">
        <v>255</v>
      </c>
      <c r="C121" t="s">
        <v>30</v>
      </c>
      <c r="D121" t="s">
        <v>30</v>
      </c>
      <c r="E121" t="s">
        <v>31</v>
      </c>
      <c r="F121">
        <v>2</v>
      </c>
      <c r="G121">
        <v>3</v>
      </c>
      <c r="H121" t="s">
        <v>122</v>
      </c>
      <c r="I121" t="s">
        <v>256</v>
      </c>
      <c r="J121" t="s">
        <v>34</v>
      </c>
      <c r="L121" t="s">
        <v>30</v>
      </c>
      <c r="M121">
        <v>22</v>
      </c>
      <c r="N121" t="s">
        <v>84</v>
      </c>
      <c r="O121" t="s">
        <v>242</v>
      </c>
      <c r="P121">
        <v>0</v>
      </c>
      <c r="Q121">
        <v>50</v>
      </c>
      <c r="R121" t="s">
        <v>36</v>
      </c>
      <c r="S121">
        <v>12</v>
      </c>
      <c r="T121">
        <v>12</v>
      </c>
      <c r="U121" t="s">
        <v>112</v>
      </c>
      <c r="V121" t="s">
        <v>37</v>
      </c>
      <c r="W121">
        <v>450</v>
      </c>
      <c r="X121">
        <v>532</v>
      </c>
      <c r="Y121">
        <v>8.3000000000000007</v>
      </c>
      <c r="Z121">
        <v>500</v>
      </c>
      <c r="AA121">
        <v>2000</v>
      </c>
      <c r="AB121">
        <v>50</v>
      </c>
      <c r="AC121" t="s">
        <v>40</v>
      </c>
    </row>
    <row r="122" spans="1:29" x14ac:dyDescent="0.25">
      <c r="A122" t="str">
        <f>"Raman_"&amp;E122&amp;"_"&amp;B122&amp;"_"&amp;AC122&amp;"_"&amp;TEXT(F122, "000")&amp;"_"&amp;TEXT(G122, "000")&amp;"_"&amp;H122&amp;".csv"</f>
        <v>Raman_EG_Pavlovagyrans_raw_002_003_A7.csv</v>
      </c>
      <c r="B122" t="s">
        <v>255</v>
      </c>
      <c r="C122" t="s">
        <v>30</v>
      </c>
      <c r="D122" t="s">
        <v>30</v>
      </c>
      <c r="E122" t="s">
        <v>31</v>
      </c>
      <c r="F122">
        <v>2</v>
      </c>
      <c r="G122">
        <v>3</v>
      </c>
      <c r="H122" t="s">
        <v>124</v>
      </c>
      <c r="I122" t="s">
        <v>256</v>
      </c>
      <c r="J122" t="s">
        <v>34</v>
      </c>
      <c r="L122" t="s">
        <v>30</v>
      </c>
      <c r="M122">
        <v>22</v>
      </c>
      <c r="N122" t="s">
        <v>46</v>
      </c>
      <c r="O122" t="s">
        <v>242</v>
      </c>
      <c r="P122">
        <v>0</v>
      </c>
      <c r="Q122">
        <v>50</v>
      </c>
      <c r="R122" t="s">
        <v>36</v>
      </c>
      <c r="S122">
        <v>12</v>
      </c>
      <c r="T122">
        <v>12</v>
      </c>
      <c r="U122" t="s">
        <v>112</v>
      </c>
      <c r="V122" t="s">
        <v>37</v>
      </c>
      <c r="W122">
        <v>450</v>
      </c>
      <c r="X122">
        <v>532</v>
      </c>
      <c r="Y122">
        <v>8.3000000000000007</v>
      </c>
      <c r="Z122">
        <v>500</v>
      </c>
      <c r="AA122">
        <v>2000</v>
      </c>
      <c r="AB122">
        <v>50</v>
      </c>
      <c r="AC122" t="s">
        <v>40</v>
      </c>
    </row>
    <row r="123" spans="1:29" x14ac:dyDescent="0.25">
      <c r="A123" t="str">
        <f>"Raman_"&amp;E123&amp;"_"&amp;B123&amp;"_"&amp;AC123&amp;"_"&amp;TEXT(F123, "000")&amp;"_"&amp;TEXT(G123, "000")&amp;"_"&amp;H123&amp;".csv"</f>
        <v>Raman_EG_Pavlovagyrans_raw_002_003_A8.csv</v>
      </c>
      <c r="B123" t="s">
        <v>255</v>
      </c>
      <c r="C123" t="s">
        <v>30</v>
      </c>
      <c r="D123" t="s">
        <v>30</v>
      </c>
      <c r="E123" t="s">
        <v>31</v>
      </c>
      <c r="F123">
        <v>2</v>
      </c>
      <c r="G123">
        <v>3</v>
      </c>
      <c r="H123" t="s">
        <v>126</v>
      </c>
      <c r="I123" t="s">
        <v>256</v>
      </c>
      <c r="J123" t="s">
        <v>34</v>
      </c>
      <c r="L123" t="s">
        <v>30</v>
      </c>
      <c r="M123">
        <v>22</v>
      </c>
      <c r="N123" t="s">
        <v>86</v>
      </c>
      <c r="O123" t="s">
        <v>242</v>
      </c>
      <c r="P123">
        <v>0</v>
      </c>
      <c r="Q123">
        <v>50</v>
      </c>
      <c r="R123" t="s">
        <v>36</v>
      </c>
      <c r="S123">
        <v>12</v>
      </c>
      <c r="T123">
        <v>12</v>
      </c>
      <c r="U123" t="s">
        <v>112</v>
      </c>
      <c r="V123" t="s">
        <v>37</v>
      </c>
      <c r="W123">
        <v>450</v>
      </c>
      <c r="X123">
        <v>532</v>
      </c>
      <c r="Y123">
        <v>8.3000000000000007</v>
      </c>
      <c r="Z123">
        <v>500</v>
      </c>
      <c r="AA123">
        <v>2000</v>
      </c>
      <c r="AB123">
        <v>50</v>
      </c>
      <c r="AC123" t="s">
        <v>40</v>
      </c>
    </row>
    <row r="124" spans="1:29" x14ac:dyDescent="0.25">
      <c r="A124" t="str">
        <f>"Raman_"&amp;E124&amp;"_"&amp;B124&amp;"_"&amp;AC124&amp;"_"&amp;TEXT(F124, "000")&amp;"_"&amp;TEXT(G124, "000")&amp;"_"&amp;H124&amp;".csv"</f>
        <v>Raman_EG_Pavlovagyrans_raw_002_003_B1.csv</v>
      </c>
      <c r="B124" t="s">
        <v>255</v>
      </c>
      <c r="C124" t="s">
        <v>30</v>
      </c>
      <c r="D124" t="s">
        <v>30</v>
      </c>
      <c r="E124" t="s">
        <v>31</v>
      </c>
      <c r="F124">
        <v>2</v>
      </c>
      <c r="G124">
        <v>3</v>
      </c>
      <c r="H124" t="s">
        <v>128</v>
      </c>
      <c r="I124" t="s">
        <v>256</v>
      </c>
      <c r="J124" t="s">
        <v>34</v>
      </c>
      <c r="L124" t="s">
        <v>30</v>
      </c>
      <c r="M124">
        <v>22</v>
      </c>
      <c r="N124" t="s">
        <v>35</v>
      </c>
      <c r="O124" t="s">
        <v>242</v>
      </c>
      <c r="P124">
        <v>0</v>
      </c>
      <c r="Q124">
        <v>50</v>
      </c>
      <c r="R124" t="s">
        <v>36</v>
      </c>
      <c r="S124">
        <v>12</v>
      </c>
      <c r="T124">
        <v>12</v>
      </c>
      <c r="U124" t="s">
        <v>112</v>
      </c>
      <c r="V124" t="s">
        <v>37</v>
      </c>
      <c r="W124">
        <v>450</v>
      </c>
      <c r="X124">
        <v>532</v>
      </c>
      <c r="Y124">
        <v>8.3000000000000007</v>
      </c>
      <c r="Z124">
        <v>500</v>
      </c>
      <c r="AA124">
        <v>2000</v>
      </c>
      <c r="AB124">
        <v>50</v>
      </c>
      <c r="AC124" t="s">
        <v>40</v>
      </c>
    </row>
    <row r="125" spans="1:29" x14ac:dyDescent="0.25">
      <c r="A125" t="str">
        <f>"Raman_"&amp;E125&amp;"_"&amp;B125&amp;"_"&amp;AC125&amp;"_"&amp;TEXT(F125, "000")&amp;"_"&amp;TEXT(G125, "000")&amp;"_"&amp;H125&amp;".csv"</f>
        <v>Raman_EG_Pavlovagyrans_raw_002_003_B2.csv</v>
      </c>
      <c r="B125" t="s">
        <v>255</v>
      </c>
      <c r="C125" t="s">
        <v>30</v>
      </c>
      <c r="D125" t="s">
        <v>30</v>
      </c>
      <c r="E125" t="s">
        <v>31</v>
      </c>
      <c r="F125">
        <v>2</v>
      </c>
      <c r="G125">
        <v>3</v>
      </c>
      <c r="H125" t="s">
        <v>32</v>
      </c>
      <c r="I125" t="s">
        <v>256</v>
      </c>
      <c r="J125" t="s">
        <v>34</v>
      </c>
      <c r="L125" t="s">
        <v>30</v>
      </c>
      <c r="M125">
        <v>22</v>
      </c>
      <c r="N125" t="s">
        <v>80</v>
      </c>
      <c r="O125" t="s">
        <v>242</v>
      </c>
      <c r="P125">
        <v>0</v>
      </c>
      <c r="Q125">
        <v>50</v>
      </c>
      <c r="R125" t="s">
        <v>36</v>
      </c>
      <c r="S125">
        <v>12</v>
      </c>
      <c r="T125">
        <v>12</v>
      </c>
      <c r="U125" t="s">
        <v>112</v>
      </c>
      <c r="V125" t="s">
        <v>37</v>
      </c>
      <c r="W125">
        <v>450</v>
      </c>
      <c r="X125">
        <v>532</v>
      </c>
      <c r="Y125">
        <v>8.3000000000000007</v>
      </c>
      <c r="Z125">
        <v>500</v>
      </c>
      <c r="AA125">
        <v>2000</v>
      </c>
      <c r="AB125">
        <v>50</v>
      </c>
      <c r="AC125" t="s">
        <v>40</v>
      </c>
    </row>
    <row r="126" spans="1:29" x14ac:dyDescent="0.25">
      <c r="A126" t="str">
        <f>"Raman_"&amp;E126&amp;"_"&amp;B126&amp;"_"&amp;AC126&amp;"_"&amp;TEXT(F126, "000")&amp;"_"&amp;TEXT(G126, "000")&amp;"_"&amp;H126&amp;".csv"</f>
        <v>Raman_EG_Pavlovagyrans_raw_002_003_B3.csv</v>
      </c>
      <c r="B126" t="s">
        <v>255</v>
      </c>
      <c r="C126" t="s">
        <v>30</v>
      </c>
      <c r="D126" t="s">
        <v>30</v>
      </c>
      <c r="E126" t="s">
        <v>31</v>
      </c>
      <c r="F126">
        <v>2</v>
      </c>
      <c r="G126">
        <v>3</v>
      </c>
      <c r="H126" t="s">
        <v>41</v>
      </c>
      <c r="I126" t="s">
        <v>256</v>
      </c>
      <c r="J126" t="s">
        <v>34</v>
      </c>
      <c r="L126" t="s">
        <v>30</v>
      </c>
      <c r="M126">
        <v>22</v>
      </c>
      <c r="N126" t="s">
        <v>42</v>
      </c>
      <c r="O126" t="s">
        <v>242</v>
      </c>
      <c r="P126">
        <v>0</v>
      </c>
      <c r="Q126">
        <v>50</v>
      </c>
      <c r="R126" t="s">
        <v>36</v>
      </c>
      <c r="S126">
        <v>12</v>
      </c>
      <c r="T126">
        <v>12</v>
      </c>
      <c r="U126" t="s">
        <v>112</v>
      </c>
      <c r="V126" t="s">
        <v>37</v>
      </c>
      <c r="W126">
        <v>450</v>
      </c>
      <c r="X126">
        <v>532</v>
      </c>
      <c r="Y126">
        <v>8.3000000000000007</v>
      </c>
      <c r="Z126">
        <v>500</v>
      </c>
      <c r="AA126">
        <v>2000</v>
      </c>
      <c r="AB126">
        <v>50</v>
      </c>
      <c r="AC126" t="s">
        <v>40</v>
      </c>
    </row>
    <row r="127" spans="1:29" x14ac:dyDescent="0.25">
      <c r="A127" t="str">
        <f>"Raman_"&amp;E127&amp;"_"&amp;B127&amp;"_"&amp;AC127&amp;"_"&amp;TEXT(F127, "000")&amp;"_"&amp;TEXT(G127, "000")&amp;"_"&amp;H127&amp;".csv"</f>
        <v>Raman_EG_Pavlovagyrans_raw_002_003_B4.csv</v>
      </c>
      <c r="B127" t="s">
        <v>255</v>
      </c>
      <c r="C127" t="s">
        <v>30</v>
      </c>
      <c r="D127" t="s">
        <v>30</v>
      </c>
      <c r="E127" t="s">
        <v>31</v>
      </c>
      <c r="F127">
        <v>2</v>
      </c>
      <c r="G127">
        <v>3</v>
      </c>
      <c r="H127" t="s">
        <v>43</v>
      </c>
      <c r="I127" t="s">
        <v>256</v>
      </c>
      <c r="J127" t="s">
        <v>34</v>
      </c>
      <c r="L127" t="s">
        <v>30</v>
      </c>
      <c r="M127">
        <v>22</v>
      </c>
      <c r="N127" t="s">
        <v>82</v>
      </c>
      <c r="O127" t="s">
        <v>242</v>
      </c>
      <c r="P127">
        <v>0</v>
      </c>
      <c r="Q127">
        <v>50</v>
      </c>
      <c r="R127" t="s">
        <v>36</v>
      </c>
      <c r="S127">
        <v>12</v>
      </c>
      <c r="T127">
        <v>12</v>
      </c>
      <c r="U127" t="s">
        <v>112</v>
      </c>
      <c r="V127" t="s">
        <v>37</v>
      </c>
      <c r="W127">
        <v>450</v>
      </c>
      <c r="X127">
        <v>532</v>
      </c>
      <c r="Y127">
        <v>8.3000000000000007</v>
      </c>
      <c r="Z127">
        <v>500</v>
      </c>
      <c r="AA127">
        <v>2000</v>
      </c>
      <c r="AB127">
        <v>50</v>
      </c>
      <c r="AC127" t="s">
        <v>40</v>
      </c>
    </row>
    <row r="128" spans="1:29" x14ac:dyDescent="0.25">
      <c r="A128" t="str">
        <f>"Raman_"&amp;E128&amp;"_"&amp;B128&amp;"_"&amp;AC128&amp;"_"&amp;TEXT(F128, "000")&amp;"_"&amp;TEXT(G128, "000")&amp;"_"&amp;H128&amp;".csv"</f>
        <v>Raman_EG_Pavlovagyrans_raw_002_003_B5.csv</v>
      </c>
      <c r="B128" t="s">
        <v>255</v>
      </c>
      <c r="C128" t="s">
        <v>30</v>
      </c>
      <c r="D128" t="s">
        <v>30</v>
      </c>
      <c r="E128" t="s">
        <v>31</v>
      </c>
      <c r="F128">
        <v>2</v>
      </c>
      <c r="G128">
        <v>3</v>
      </c>
      <c r="H128" t="s">
        <v>45</v>
      </c>
      <c r="I128" t="s">
        <v>256</v>
      </c>
      <c r="J128" t="s">
        <v>34</v>
      </c>
      <c r="L128" t="s">
        <v>30</v>
      </c>
      <c r="M128">
        <v>22</v>
      </c>
      <c r="N128" t="s">
        <v>44</v>
      </c>
      <c r="O128" t="s">
        <v>242</v>
      </c>
      <c r="P128">
        <v>0</v>
      </c>
      <c r="Q128">
        <v>50</v>
      </c>
      <c r="R128" t="s">
        <v>36</v>
      </c>
      <c r="S128">
        <v>12</v>
      </c>
      <c r="T128">
        <v>12</v>
      </c>
      <c r="U128" t="s">
        <v>112</v>
      </c>
      <c r="V128" t="s">
        <v>37</v>
      </c>
      <c r="W128">
        <v>450</v>
      </c>
      <c r="X128">
        <v>532</v>
      </c>
      <c r="Y128">
        <v>8.3000000000000007</v>
      </c>
      <c r="Z128">
        <v>500</v>
      </c>
      <c r="AA128">
        <v>2000</v>
      </c>
      <c r="AB128">
        <v>50</v>
      </c>
      <c r="AC128" t="s">
        <v>40</v>
      </c>
    </row>
    <row r="129" spans="1:29" x14ac:dyDescent="0.25">
      <c r="A129" t="str">
        <f>"Raman_"&amp;E129&amp;"_"&amp;B129&amp;"_"&amp;AC129&amp;"_"&amp;TEXT(F129, "000")&amp;"_"&amp;TEXT(G129, "000")&amp;"_"&amp;H129&amp;".csv"</f>
        <v>Raman_EG_Pavlovagyrans_raw_002_003_B6.csv</v>
      </c>
      <c r="B129" t="s">
        <v>255</v>
      </c>
      <c r="C129" t="s">
        <v>30</v>
      </c>
      <c r="D129" t="s">
        <v>30</v>
      </c>
      <c r="E129" t="s">
        <v>31</v>
      </c>
      <c r="F129">
        <v>2</v>
      </c>
      <c r="G129">
        <v>3</v>
      </c>
      <c r="H129" t="s">
        <v>47</v>
      </c>
      <c r="I129" t="s">
        <v>256</v>
      </c>
      <c r="J129" t="s">
        <v>34</v>
      </c>
      <c r="L129" t="s">
        <v>30</v>
      </c>
      <c r="M129">
        <v>22</v>
      </c>
      <c r="N129" t="s">
        <v>84</v>
      </c>
      <c r="O129" t="s">
        <v>242</v>
      </c>
      <c r="P129">
        <v>0</v>
      </c>
      <c r="Q129">
        <v>50</v>
      </c>
      <c r="R129" t="s">
        <v>36</v>
      </c>
      <c r="S129">
        <v>12</v>
      </c>
      <c r="T129">
        <v>12</v>
      </c>
      <c r="U129" t="s">
        <v>112</v>
      </c>
      <c r="V129" t="s">
        <v>37</v>
      </c>
      <c r="W129">
        <v>450</v>
      </c>
      <c r="X129">
        <v>532</v>
      </c>
      <c r="Y129">
        <v>8.3000000000000007</v>
      </c>
      <c r="Z129">
        <v>500</v>
      </c>
      <c r="AA129">
        <v>2000</v>
      </c>
      <c r="AB129">
        <v>50</v>
      </c>
      <c r="AC129" t="s">
        <v>40</v>
      </c>
    </row>
    <row r="130" spans="1:29" x14ac:dyDescent="0.25">
      <c r="A130" t="str">
        <f>"Raman_"&amp;E130&amp;"_"&amp;B130&amp;"_"&amp;AC130&amp;"_"&amp;TEXT(F130, "000")&amp;"_"&amp;TEXT(G130, "000")&amp;"_"&amp;H130&amp;".csv"</f>
        <v>Raman_EG_Pavlovagyrans_raw_002_003_B7.csv</v>
      </c>
      <c r="B130" t="s">
        <v>255</v>
      </c>
      <c r="C130" t="s">
        <v>30</v>
      </c>
      <c r="D130" t="s">
        <v>30</v>
      </c>
      <c r="E130" t="s">
        <v>31</v>
      </c>
      <c r="F130">
        <v>2</v>
      </c>
      <c r="G130">
        <v>3</v>
      </c>
      <c r="H130" t="s">
        <v>49</v>
      </c>
      <c r="I130" t="s">
        <v>256</v>
      </c>
      <c r="J130" t="s">
        <v>34</v>
      </c>
      <c r="L130" t="s">
        <v>30</v>
      </c>
      <c r="M130">
        <v>22</v>
      </c>
      <c r="N130" t="s">
        <v>46</v>
      </c>
      <c r="O130" t="s">
        <v>242</v>
      </c>
      <c r="P130">
        <v>0</v>
      </c>
      <c r="Q130">
        <v>50</v>
      </c>
      <c r="R130" t="s">
        <v>36</v>
      </c>
      <c r="S130">
        <v>12</v>
      </c>
      <c r="T130">
        <v>12</v>
      </c>
      <c r="U130" t="s">
        <v>112</v>
      </c>
      <c r="V130" t="s">
        <v>37</v>
      </c>
      <c r="W130">
        <v>450</v>
      </c>
      <c r="X130">
        <v>532</v>
      </c>
      <c r="Y130">
        <v>8.3000000000000007</v>
      </c>
      <c r="Z130">
        <v>500</v>
      </c>
      <c r="AA130">
        <v>2000</v>
      </c>
      <c r="AB130">
        <v>50</v>
      </c>
      <c r="AC130" t="s">
        <v>40</v>
      </c>
    </row>
    <row r="131" spans="1:29" x14ac:dyDescent="0.25">
      <c r="A131" t="str">
        <f>"Raman_"&amp;E131&amp;"_"&amp;B131&amp;"_"&amp;AC131&amp;"_"&amp;TEXT(F131, "000")&amp;"_"&amp;TEXT(G131, "000")&amp;"_"&amp;H131&amp;".csv"</f>
        <v>Raman_EG_Pavlovagyrans_raw_002_003_B8.csv</v>
      </c>
      <c r="B131" t="s">
        <v>255</v>
      </c>
      <c r="C131" t="s">
        <v>30</v>
      </c>
      <c r="D131" t="s">
        <v>30</v>
      </c>
      <c r="E131" t="s">
        <v>31</v>
      </c>
      <c r="F131">
        <v>2</v>
      </c>
      <c r="G131">
        <v>3</v>
      </c>
      <c r="H131" t="s">
        <v>51</v>
      </c>
      <c r="I131" t="s">
        <v>256</v>
      </c>
      <c r="J131" t="s">
        <v>34</v>
      </c>
      <c r="L131" t="s">
        <v>30</v>
      </c>
      <c r="M131">
        <v>22</v>
      </c>
      <c r="N131" t="s">
        <v>86</v>
      </c>
      <c r="O131" t="s">
        <v>242</v>
      </c>
      <c r="P131">
        <v>0</v>
      </c>
      <c r="Q131">
        <v>50</v>
      </c>
      <c r="R131" t="s">
        <v>36</v>
      </c>
      <c r="S131">
        <v>12</v>
      </c>
      <c r="T131">
        <v>12</v>
      </c>
      <c r="U131" t="s">
        <v>112</v>
      </c>
      <c r="V131" t="s">
        <v>37</v>
      </c>
      <c r="W131">
        <v>450</v>
      </c>
      <c r="X131">
        <v>532</v>
      </c>
      <c r="Y131">
        <v>8.3000000000000007</v>
      </c>
      <c r="Z131">
        <v>500</v>
      </c>
      <c r="AA131">
        <v>2000</v>
      </c>
      <c r="AB131">
        <v>50</v>
      </c>
      <c r="AC131" t="s">
        <v>40</v>
      </c>
    </row>
    <row r="132" spans="1:29" x14ac:dyDescent="0.25">
      <c r="A132" t="str">
        <f>"Raman_"&amp;E132&amp;"_"&amp;B132&amp;"_"&amp;AC132&amp;"_"&amp;TEXT(F132, "000")&amp;"_"&amp;TEXT(G132, "000")&amp;"_"&amp;H132&amp;".csv"</f>
        <v>Raman_EG_Pavlovagyrans_raw_002_003_C1.csv</v>
      </c>
      <c r="B132" t="s">
        <v>255</v>
      </c>
      <c r="C132" t="s">
        <v>30</v>
      </c>
      <c r="D132" t="s">
        <v>30</v>
      </c>
      <c r="E132" t="s">
        <v>31</v>
      </c>
      <c r="F132">
        <v>2</v>
      </c>
      <c r="G132">
        <v>3</v>
      </c>
      <c r="H132" t="s">
        <v>137</v>
      </c>
      <c r="I132" t="s">
        <v>256</v>
      </c>
      <c r="J132" t="s">
        <v>34</v>
      </c>
      <c r="L132" t="s">
        <v>30</v>
      </c>
      <c r="M132">
        <v>22</v>
      </c>
      <c r="N132" t="s">
        <v>35</v>
      </c>
      <c r="O132" t="s">
        <v>242</v>
      </c>
      <c r="P132">
        <v>0</v>
      </c>
      <c r="Q132">
        <v>50</v>
      </c>
      <c r="R132" t="s">
        <v>36</v>
      </c>
      <c r="S132">
        <v>12</v>
      </c>
      <c r="T132">
        <v>12</v>
      </c>
      <c r="U132" t="s">
        <v>112</v>
      </c>
      <c r="V132" t="s">
        <v>37</v>
      </c>
      <c r="W132">
        <v>450</v>
      </c>
      <c r="X132">
        <v>532</v>
      </c>
      <c r="Y132">
        <v>8.3000000000000007</v>
      </c>
      <c r="Z132">
        <v>500</v>
      </c>
      <c r="AA132">
        <v>2000</v>
      </c>
      <c r="AB132">
        <v>50</v>
      </c>
      <c r="AC132" t="s">
        <v>40</v>
      </c>
    </row>
    <row r="133" spans="1:29" x14ac:dyDescent="0.25">
      <c r="A133" t="str">
        <f>"Raman_"&amp;E133&amp;"_"&amp;B133&amp;"_"&amp;AC133&amp;"_"&amp;TEXT(F133, "000")&amp;"_"&amp;TEXT(G133, "000")&amp;"_"&amp;H133&amp;".csv"</f>
        <v>Raman_EG_Pavlovagyrans_raw_002_003_C2.csv</v>
      </c>
      <c r="B133" t="s">
        <v>255</v>
      </c>
      <c r="C133" t="s">
        <v>30</v>
      </c>
      <c r="D133" t="s">
        <v>30</v>
      </c>
      <c r="E133" t="s">
        <v>31</v>
      </c>
      <c r="F133">
        <v>2</v>
      </c>
      <c r="G133">
        <v>3</v>
      </c>
      <c r="H133" t="s">
        <v>59</v>
      </c>
      <c r="I133" t="s">
        <v>256</v>
      </c>
      <c r="J133" t="s">
        <v>34</v>
      </c>
      <c r="L133" t="s">
        <v>30</v>
      </c>
      <c r="M133">
        <v>22</v>
      </c>
      <c r="N133" t="s">
        <v>80</v>
      </c>
      <c r="O133" t="s">
        <v>242</v>
      </c>
      <c r="P133">
        <v>0</v>
      </c>
      <c r="Q133">
        <v>50</v>
      </c>
      <c r="R133" t="s">
        <v>36</v>
      </c>
      <c r="S133">
        <v>12</v>
      </c>
      <c r="T133">
        <v>12</v>
      </c>
      <c r="U133" t="s">
        <v>112</v>
      </c>
      <c r="V133" t="s">
        <v>37</v>
      </c>
      <c r="W133">
        <v>450</v>
      </c>
      <c r="X133">
        <v>532</v>
      </c>
      <c r="Y133">
        <v>8.3000000000000007</v>
      </c>
      <c r="Z133">
        <v>500</v>
      </c>
      <c r="AA133">
        <v>2000</v>
      </c>
      <c r="AB133">
        <v>50</v>
      </c>
      <c r="AC133" t="s">
        <v>40</v>
      </c>
    </row>
    <row r="134" spans="1:29" x14ac:dyDescent="0.25">
      <c r="A134" t="str">
        <f>"Raman_"&amp;E134&amp;"_"&amp;B134&amp;"_"&amp;AC134&amp;"_"&amp;TEXT(F134, "000")&amp;"_"&amp;TEXT(G134, "000")&amp;"_"&amp;H134&amp;".csv"</f>
        <v>Raman_EG_Pavlovagyrans_raw_002_003_C3.csv</v>
      </c>
      <c r="B134" t="s">
        <v>255</v>
      </c>
      <c r="C134" t="s">
        <v>30</v>
      </c>
      <c r="D134" t="s">
        <v>30</v>
      </c>
      <c r="E134" t="s">
        <v>31</v>
      </c>
      <c r="F134">
        <v>2</v>
      </c>
      <c r="G134">
        <v>3</v>
      </c>
      <c r="H134" t="s">
        <v>60</v>
      </c>
      <c r="I134" t="s">
        <v>256</v>
      </c>
      <c r="J134" t="s">
        <v>34</v>
      </c>
      <c r="L134" t="s">
        <v>30</v>
      </c>
      <c r="M134">
        <v>22</v>
      </c>
      <c r="N134" t="s">
        <v>42</v>
      </c>
      <c r="O134" t="s">
        <v>242</v>
      </c>
      <c r="P134">
        <v>0</v>
      </c>
      <c r="Q134">
        <v>50</v>
      </c>
      <c r="R134" t="s">
        <v>36</v>
      </c>
      <c r="S134">
        <v>12</v>
      </c>
      <c r="T134">
        <v>12</v>
      </c>
      <c r="U134" t="s">
        <v>112</v>
      </c>
      <c r="V134" t="s">
        <v>37</v>
      </c>
      <c r="W134">
        <v>450</v>
      </c>
      <c r="X134">
        <v>532</v>
      </c>
      <c r="Y134">
        <v>8.3000000000000007</v>
      </c>
      <c r="Z134">
        <v>500</v>
      </c>
      <c r="AA134">
        <v>2000</v>
      </c>
      <c r="AB134">
        <v>50</v>
      </c>
      <c r="AC134" t="s">
        <v>40</v>
      </c>
    </row>
    <row r="135" spans="1:29" x14ac:dyDescent="0.25">
      <c r="A135" t="str">
        <f>"Raman_"&amp;E135&amp;"_"&amp;B135&amp;"_"&amp;AC135&amp;"_"&amp;TEXT(F135, "000")&amp;"_"&amp;TEXT(G135, "000")&amp;"_"&amp;H135&amp;".csv"</f>
        <v>Raman_EG_Pavlovagyrans_raw_002_003_C4.csv</v>
      </c>
      <c r="B135" t="s">
        <v>255</v>
      </c>
      <c r="C135" t="s">
        <v>30</v>
      </c>
      <c r="D135" t="s">
        <v>30</v>
      </c>
      <c r="E135" t="s">
        <v>31</v>
      </c>
      <c r="F135">
        <v>2</v>
      </c>
      <c r="G135">
        <v>3</v>
      </c>
      <c r="H135" t="s">
        <v>61</v>
      </c>
      <c r="I135" t="s">
        <v>256</v>
      </c>
      <c r="J135" t="s">
        <v>34</v>
      </c>
      <c r="L135" t="s">
        <v>30</v>
      </c>
      <c r="M135">
        <v>22</v>
      </c>
      <c r="N135" t="s">
        <v>82</v>
      </c>
      <c r="O135" t="s">
        <v>242</v>
      </c>
      <c r="P135">
        <v>0</v>
      </c>
      <c r="Q135">
        <v>50</v>
      </c>
      <c r="R135" t="s">
        <v>36</v>
      </c>
      <c r="S135">
        <v>12</v>
      </c>
      <c r="T135">
        <v>12</v>
      </c>
      <c r="U135" t="s">
        <v>112</v>
      </c>
      <c r="V135" t="s">
        <v>37</v>
      </c>
      <c r="W135">
        <v>450</v>
      </c>
      <c r="X135">
        <v>532</v>
      </c>
      <c r="Y135">
        <v>8.3000000000000007</v>
      </c>
      <c r="Z135">
        <v>500</v>
      </c>
      <c r="AA135">
        <v>2000</v>
      </c>
      <c r="AB135">
        <v>50</v>
      </c>
      <c r="AC135" t="s">
        <v>40</v>
      </c>
    </row>
    <row r="136" spans="1:29" x14ac:dyDescent="0.25">
      <c r="A136" t="str">
        <f>"Raman_"&amp;E136&amp;"_"&amp;B136&amp;"_"&amp;AC136&amp;"_"&amp;TEXT(F136, "000")&amp;"_"&amp;TEXT(G136, "000")&amp;"_"&amp;H136&amp;".csv"</f>
        <v>Raman_EG_Pavlovagyrans_raw_002_003_C5.csv</v>
      </c>
      <c r="B136" t="s">
        <v>255</v>
      </c>
      <c r="C136" t="s">
        <v>30</v>
      </c>
      <c r="D136" t="s">
        <v>30</v>
      </c>
      <c r="E136" t="s">
        <v>31</v>
      </c>
      <c r="F136">
        <v>2</v>
      </c>
      <c r="G136">
        <v>3</v>
      </c>
      <c r="H136" t="s">
        <v>62</v>
      </c>
      <c r="I136" t="s">
        <v>256</v>
      </c>
      <c r="J136" t="s">
        <v>34</v>
      </c>
      <c r="L136" t="s">
        <v>30</v>
      </c>
      <c r="M136">
        <v>22</v>
      </c>
      <c r="N136" t="s">
        <v>44</v>
      </c>
      <c r="O136" t="s">
        <v>242</v>
      </c>
      <c r="P136">
        <v>0</v>
      </c>
      <c r="Q136">
        <v>50</v>
      </c>
      <c r="R136" t="s">
        <v>36</v>
      </c>
      <c r="S136">
        <v>12</v>
      </c>
      <c r="T136">
        <v>12</v>
      </c>
      <c r="U136" t="s">
        <v>112</v>
      </c>
      <c r="V136" t="s">
        <v>37</v>
      </c>
      <c r="W136">
        <v>450</v>
      </c>
      <c r="X136">
        <v>532</v>
      </c>
      <c r="Y136">
        <v>8.3000000000000007</v>
      </c>
      <c r="Z136">
        <v>500</v>
      </c>
      <c r="AA136">
        <v>2000</v>
      </c>
      <c r="AB136">
        <v>50</v>
      </c>
      <c r="AC136" t="s">
        <v>40</v>
      </c>
    </row>
    <row r="137" spans="1:29" x14ac:dyDescent="0.25">
      <c r="A137" t="str">
        <f>"Raman_"&amp;E137&amp;"_"&amp;B137&amp;"_"&amp;AC137&amp;"_"&amp;TEXT(F137, "000")&amp;"_"&amp;TEXT(G137, "000")&amp;"_"&amp;H137&amp;".csv"</f>
        <v>Raman_EG_Pavlovagyrans_raw_002_003_C6.csv</v>
      </c>
      <c r="B137" t="s">
        <v>255</v>
      </c>
      <c r="C137" t="s">
        <v>30</v>
      </c>
      <c r="D137" t="s">
        <v>30</v>
      </c>
      <c r="E137" t="s">
        <v>31</v>
      </c>
      <c r="F137">
        <v>2</v>
      </c>
      <c r="G137">
        <v>3</v>
      </c>
      <c r="H137" t="s">
        <v>63</v>
      </c>
      <c r="I137" t="s">
        <v>256</v>
      </c>
      <c r="J137" t="s">
        <v>34</v>
      </c>
      <c r="L137" t="s">
        <v>30</v>
      </c>
      <c r="M137">
        <v>22</v>
      </c>
      <c r="N137" t="s">
        <v>84</v>
      </c>
      <c r="O137" t="s">
        <v>242</v>
      </c>
      <c r="P137">
        <v>0</v>
      </c>
      <c r="Q137">
        <v>50</v>
      </c>
      <c r="R137" t="s">
        <v>36</v>
      </c>
      <c r="S137">
        <v>12</v>
      </c>
      <c r="T137">
        <v>12</v>
      </c>
      <c r="U137" t="s">
        <v>112</v>
      </c>
      <c r="V137" t="s">
        <v>37</v>
      </c>
      <c r="W137">
        <v>450</v>
      </c>
      <c r="X137">
        <v>532</v>
      </c>
      <c r="Y137">
        <v>8.3000000000000007</v>
      </c>
      <c r="Z137">
        <v>500</v>
      </c>
      <c r="AA137">
        <v>2000</v>
      </c>
      <c r="AB137">
        <v>50</v>
      </c>
      <c r="AC137" t="s">
        <v>40</v>
      </c>
    </row>
    <row r="138" spans="1:29" x14ac:dyDescent="0.25">
      <c r="A138" t="str">
        <f>"Raman_"&amp;E138&amp;"_"&amp;B138&amp;"_"&amp;AC138&amp;"_"&amp;TEXT(F138, "000")&amp;"_"&amp;TEXT(G138, "000")&amp;"_"&amp;H138&amp;".csv"</f>
        <v>Raman_EG_Pavlovagyrans_raw_002_003_C7.csv</v>
      </c>
      <c r="B138" t="s">
        <v>255</v>
      </c>
      <c r="C138" t="s">
        <v>30</v>
      </c>
      <c r="D138" t="s">
        <v>30</v>
      </c>
      <c r="E138" t="s">
        <v>31</v>
      </c>
      <c r="F138">
        <v>2</v>
      </c>
      <c r="G138">
        <v>3</v>
      </c>
      <c r="H138" t="s">
        <v>64</v>
      </c>
      <c r="I138" t="s">
        <v>256</v>
      </c>
      <c r="J138" t="s">
        <v>34</v>
      </c>
      <c r="L138" t="s">
        <v>30</v>
      </c>
      <c r="M138">
        <v>22</v>
      </c>
      <c r="N138" t="s">
        <v>46</v>
      </c>
      <c r="O138" t="s">
        <v>242</v>
      </c>
      <c r="P138">
        <v>0</v>
      </c>
      <c r="Q138">
        <v>50</v>
      </c>
      <c r="R138" t="s">
        <v>36</v>
      </c>
      <c r="S138">
        <v>12</v>
      </c>
      <c r="T138">
        <v>12</v>
      </c>
      <c r="U138" t="s">
        <v>112</v>
      </c>
      <c r="V138" t="s">
        <v>37</v>
      </c>
      <c r="W138">
        <v>450</v>
      </c>
      <c r="X138">
        <v>532</v>
      </c>
      <c r="Y138">
        <v>8.3000000000000007</v>
      </c>
      <c r="Z138">
        <v>500</v>
      </c>
      <c r="AA138">
        <v>2000</v>
      </c>
      <c r="AB138">
        <v>50</v>
      </c>
      <c r="AC138" t="s">
        <v>40</v>
      </c>
    </row>
    <row r="139" spans="1:29" x14ac:dyDescent="0.25">
      <c r="A139" t="str">
        <f>"Raman_"&amp;E139&amp;"_"&amp;B139&amp;"_"&amp;AC139&amp;"_"&amp;TEXT(F139, "000")&amp;"_"&amp;TEXT(G139, "000")&amp;"_"&amp;H139&amp;".csv"</f>
        <v>Raman_EG_Pavlovagyrans_raw_002_003_C8.csv</v>
      </c>
      <c r="B139" t="s">
        <v>255</v>
      </c>
      <c r="C139" t="s">
        <v>30</v>
      </c>
      <c r="D139" t="s">
        <v>30</v>
      </c>
      <c r="E139" t="s">
        <v>31</v>
      </c>
      <c r="F139">
        <v>2</v>
      </c>
      <c r="G139">
        <v>3</v>
      </c>
      <c r="H139" t="s">
        <v>65</v>
      </c>
      <c r="I139" t="s">
        <v>256</v>
      </c>
      <c r="J139" t="s">
        <v>34</v>
      </c>
      <c r="L139" t="s">
        <v>30</v>
      </c>
      <c r="M139">
        <v>22</v>
      </c>
      <c r="N139" t="s">
        <v>86</v>
      </c>
      <c r="O139" t="s">
        <v>242</v>
      </c>
      <c r="P139">
        <v>0</v>
      </c>
      <c r="Q139">
        <v>50</v>
      </c>
      <c r="R139" t="s">
        <v>36</v>
      </c>
      <c r="S139">
        <v>12</v>
      </c>
      <c r="T139">
        <v>12</v>
      </c>
      <c r="U139" t="s">
        <v>112</v>
      </c>
      <c r="V139" t="s">
        <v>37</v>
      </c>
      <c r="W139">
        <v>450</v>
      </c>
      <c r="X139">
        <v>532</v>
      </c>
      <c r="Y139">
        <v>8.3000000000000007</v>
      </c>
      <c r="Z139">
        <v>500</v>
      </c>
      <c r="AA139">
        <v>2000</v>
      </c>
      <c r="AB139">
        <v>50</v>
      </c>
      <c r="AC139" t="s">
        <v>40</v>
      </c>
    </row>
    <row r="140" spans="1:29" x14ac:dyDescent="0.25">
      <c r="A140" t="str">
        <f>"Raman_"&amp;E140&amp;"_"&amp;B140&amp;"_"&amp;AC140&amp;"_"&amp;TEXT(F140, "000")&amp;"_"&amp;TEXT(G140, "000")&amp;"_"&amp;H140&amp;".csv"</f>
        <v>Raman_EG_Pavlovagyrans_raw_002_003_D1.csv</v>
      </c>
      <c r="B140" t="s">
        <v>255</v>
      </c>
      <c r="C140" t="s">
        <v>30</v>
      </c>
      <c r="D140" t="s">
        <v>30</v>
      </c>
      <c r="E140" t="s">
        <v>31</v>
      </c>
      <c r="F140">
        <v>2</v>
      </c>
      <c r="G140">
        <v>3</v>
      </c>
      <c r="H140" t="s">
        <v>146</v>
      </c>
      <c r="I140" t="s">
        <v>256</v>
      </c>
      <c r="J140" t="s">
        <v>34</v>
      </c>
      <c r="L140" t="s">
        <v>30</v>
      </c>
      <c r="M140">
        <v>22</v>
      </c>
      <c r="N140" t="s">
        <v>35</v>
      </c>
      <c r="O140" t="s">
        <v>242</v>
      </c>
      <c r="P140">
        <v>0</v>
      </c>
      <c r="Q140">
        <v>50</v>
      </c>
      <c r="R140" t="s">
        <v>36</v>
      </c>
      <c r="S140">
        <v>12</v>
      </c>
      <c r="T140">
        <v>12</v>
      </c>
      <c r="U140" t="s">
        <v>112</v>
      </c>
      <c r="V140" t="s">
        <v>37</v>
      </c>
      <c r="W140">
        <v>450</v>
      </c>
      <c r="X140">
        <v>532</v>
      </c>
      <c r="Y140">
        <v>8.3000000000000007</v>
      </c>
      <c r="Z140">
        <v>500</v>
      </c>
      <c r="AA140">
        <v>2000</v>
      </c>
      <c r="AB140">
        <v>50</v>
      </c>
      <c r="AC140" t="s">
        <v>40</v>
      </c>
    </row>
    <row r="141" spans="1:29" x14ac:dyDescent="0.25">
      <c r="A141" t="str">
        <f>"Raman_"&amp;E141&amp;"_"&amp;B141&amp;"_"&amp;AC141&amp;"_"&amp;TEXT(F141, "000")&amp;"_"&amp;TEXT(G141, "000")&amp;"_"&amp;H141&amp;".csv"</f>
        <v>Raman_EG_Pavlovagyrans_raw_002_003_D2.csv</v>
      </c>
      <c r="B141" t="s">
        <v>255</v>
      </c>
      <c r="C141" t="s">
        <v>30</v>
      </c>
      <c r="D141" t="s">
        <v>30</v>
      </c>
      <c r="E141" t="s">
        <v>31</v>
      </c>
      <c r="F141">
        <v>2</v>
      </c>
      <c r="G141">
        <v>3</v>
      </c>
      <c r="H141" t="s">
        <v>69</v>
      </c>
      <c r="I141" t="s">
        <v>256</v>
      </c>
      <c r="J141" t="s">
        <v>34</v>
      </c>
      <c r="L141" t="s">
        <v>30</v>
      </c>
      <c r="M141">
        <v>22</v>
      </c>
      <c r="N141" t="s">
        <v>80</v>
      </c>
      <c r="O141" t="s">
        <v>242</v>
      </c>
      <c r="P141">
        <v>0</v>
      </c>
      <c r="Q141">
        <v>50</v>
      </c>
      <c r="R141" t="s">
        <v>36</v>
      </c>
      <c r="S141">
        <v>12</v>
      </c>
      <c r="T141">
        <v>12</v>
      </c>
      <c r="U141" t="s">
        <v>112</v>
      </c>
      <c r="V141" t="s">
        <v>37</v>
      </c>
      <c r="W141">
        <v>450</v>
      </c>
      <c r="X141">
        <v>532</v>
      </c>
      <c r="Y141">
        <v>8.3000000000000007</v>
      </c>
      <c r="Z141">
        <v>500</v>
      </c>
      <c r="AA141">
        <v>2000</v>
      </c>
      <c r="AB141">
        <v>50</v>
      </c>
      <c r="AC141" t="s">
        <v>40</v>
      </c>
    </row>
    <row r="142" spans="1:29" x14ac:dyDescent="0.25">
      <c r="A142" t="str">
        <f>"Raman_"&amp;E142&amp;"_"&amp;B142&amp;"_"&amp;AC142&amp;"_"&amp;TEXT(F142, "000")&amp;"_"&amp;TEXT(G142, "000")&amp;"_"&amp;H142&amp;".csv"</f>
        <v>Raman_EG_Pavlovagyrans_raw_002_003_D3.csv</v>
      </c>
      <c r="B142" t="s">
        <v>255</v>
      </c>
      <c r="C142" t="s">
        <v>30</v>
      </c>
      <c r="D142" t="s">
        <v>30</v>
      </c>
      <c r="E142" t="s">
        <v>31</v>
      </c>
      <c r="F142">
        <v>2</v>
      </c>
      <c r="G142">
        <v>3</v>
      </c>
      <c r="H142" t="s">
        <v>70</v>
      </c>
      <c r="I142" t="s">
        <v>256</v>
      </c>
      <c r="J142" t="s">
        <v>34</v>
      </c>
      <c r="L142" t="s">
        <v>30</v>
      </c>
      <c r="M142">
        <v>22</v>
      </c>
      <c r="N142" t="s">
        <v>42</v>
      </c>
      <c r="O142" t="s">
        <v>242</v>
      </c>
      <c r="P142">
        <v>0</v>
      </c>
      <c r="Q142">
        <v>50</v>
      </c>
      <c r="R142" t="s">
        <v>36</v>
      </c>
      <c r="S142">
        <v>12</v>
      </c>
      <c r="T142">
        <v>12</v>
      </c>
      <c r="U142" t="s">
        <v>112</v>
      </c>
      <c r="V142" t="s">
        <v>37</v>
      </c>
      <c r="W142">
        <v>450</v>
      </c>
      <c r="X142">
        <v>532</v>
      </c>
      <c r="Y142">
        <v>8.3000000000000007</v>
      </c>
      <c r="Z142">
        <v>500</v>
      </c>
      <c r="AA142">
        <v>2000</v>
      </c>
      <c r="AB142">
        <v>50</v>
      </c>
      <c r="AC142" t="s">
        <v>40</v>
      </c>
    </row>
    <row r="143" spans="1:29" x14ac:dyDescent="0.25">
      <c r="A143" t="str">
        <f>"Raman_"&amp;E143&amp;"_"&amp;B143&amp;"_"&amp;AC143&amp;"_"&amp;TEXT(F143, "000")&amp;"_"&amp;TEXT(G143, "000")&amp;"_"&amp;H143&amp;".csv"</f>
        <v>Raman_EG_Pavlovagyrans_raw_002_003_D4.csv</v>
      </c>
      <c r="B143" t="s">
        <v>255</v>
      </c>
      <c r="C143" t="s">
        <v>30</v>
      </c>
      <c r="D143" t="s">
        <v>30</v>
      </c>
      <c r="E143" t="s">
        <v>31</v>
      </c>
      <c r="F143">
        <v>2</v>
      </c>
      <c r="G143">
        <v>3</v>
      </c>
      <c r="H143" t="s">
        <v>71</v>
      </c>
      <c r="I143" t="s">
        <v>256</v>
      </c>
      <c r="J143" t="s">
        <v>34</v>
      </c>
      <c r="L143" t="s">
        <v>30</v>
      </c>
      <c r="M143">
        <v>22</v>
      </c>
      <c r="N143" t="s">
        <v>82</v>
      </c>
      <c r="O143" t="s">
        <v>242</v>
      </c>
      <c r="P143">
        <v>0</v>
      </c>
      <c r="Q143">
        <v>50</v>
      </c>
      <c r="R143" t="s">
        <v>36</v>
      </c>
      <c r="S143">
        <v>12</v>
      </c>
      <c r="T143">
        <v>12</v>
      </c>
      <c r="U143" t="s">
        <v>112</v>
      </c>
      <c r="V143" t="s">
        <v>37</v>
      </c>
      <c r="W143">
        <v>450</v>
      </c>
      <c r="X143">
        <v>532</v>
      </c>
      <c r="Y143">
        <v>8.3000000000000007</v>
      </c>
      <c r="Z143">
        <v>500</v>
      </c>
      <c r="AA143">
        <v>2000</v>
      </c>
      <c r="AB143">
        <v>50</v>
      </c>
      <c r="AC143" t="s">
        <v>40</v>
      </c>
    </row>
    <row r="144" spans="1:29" x14ac:dyDescent="0.25">
      <c r="A144" t="str">
        <f>"Raman_"&amp;E144&amp;"_"&amp;B144&amp;"_"&amp;AC144&amp;"_"&amp;TEXT(F144, "000")&amp;"_"&amp;TEXT(G144, "000")&amp;"_"&amp;H144&amp;".csv"</f>
        <v>Raman_EG_Pavlovagyrans_raw_002_003_D5.csv</v>
      </c>
      <c r="B144" t="s">
        <v>255</v>
      </c>
      <c r="C144" t="s">
        <v>30</v>
      </c>
      <c r="D144" t="s">
        <v>30</v>
      </c>
      <c r="E144" t="s">
        <v>31</v>
      </c>
      <c r="F144">
        <v>2</v>
      </c>
      <c r="G144">
        <v>3</v>
      </c>
      <c r="H144" t="s">
        <v>72</v>
      </c>
      <c r="I144" t="s">
        <v>256</v>
      </c>
      <c r="J144" t="s">
        <v>34</v>
      </c>
      <c r="L144" t="s">
        <v>30</v>
      </c>
      <c r="M144">
        <v>22</v>
      </c>
      <c r="N144" t="s">
        <v>44</v>
      </c>
      <c r="O144" t="s">
        <v>242</v>
      </c>
      <c r="P144">
        <v>0</v>
      </c>
      <c r="Q144">
        <v>50</v>
      </c>
      <c r="R144" t="s">
        <v>36</v>
      </c>
      <c r="S144">
        <v>12</v>
      </c>
      <c r="T144">
        <v>12</v>
      </c>
      <c r="U144" t="s">
        <v>112</v>
      </c>
      <c r="V144" t="s">
        <v>37</v>
      </c>
      <c r="W144">
        <v>450</v>
      </c>
      <c r="X144">
        <v>532</v>
      </c>
      <c r="Y144">
        <v>8.3000000000000007</v>
      </c>
      <c r="Z144">
        <v>500</v>
      </c>
      <c r="AA144">
        <v>2000</v>
      </c>
      <c r="AB144">
        <v>50</v>
      </c>
      <c r="AC144" t="s">
        <v>40</v>
      </c>
    </row>
    <row r="145" spans="1:29" x14ac:dyDescent="0.25">
      <c r="A145" t="str">
        <f>"Raman_"&amp;E145&amp;"_"&amp;B145&amp;"_"&amp;AC145&amp;"_"&amp;TEXT(F145, "000")&amp;"_"&amp;TEXT(G145, "000")&amp;"_"&amp;H145&amp;".csv"</f>
        <v>Raman_EG_Pavlovagyrans_raw_002_003_D6.csv</v>
      </c>
      <c r="B145" t="s">
        <v>255</v>
      </c>
      <c r="C145" t="s">
        <v>30</v>
      </c>
      <c r="D145" t="s">
        <v>30</v>
      </c>
      <c r="E145" t="s">
        <v>31</v>
      </c>
      <c r="F145">
        <v>2</v>
      </c>
      <c r="G145">
        <v>3</v>
      </c>
      <c r="H145" t="s">
        <v>73</v>
      </c>
      <c r="I145" t="s">
        <v>256</v>
      </c>
      <c r="J145" t="s">
        <v>34</v>
      </c>
      <c r="L145" t="s">
        <v>30</v>
      </c>
      <c r="M145">
        <v>22</v>
      </c>
      <c r="N145" t="s">
        <v>84</v>
      </c>
      <c r="O145" t="s">
        <v>242</v>
      </c>
      <c r="P145">
        <v>0</v>
      </c>
      <c r="Q145">
        <v>50</v>
      </c>
      <c r="R145" t="s">
        <v>36</v>
      </c>
      <c r="S145">
        <v>12</v>
      </c>
      <c r="T145">
        <v>12</v>
      </c>
      <c r="U145" t="s">
        <v>112</v>
      </c>
      <c r="V145" t="s">
        <v>37</v>
      </c>
      <c r="W145">
        <v>450</v>
      </c>
      <c r="X145">
        <v>532</v>
      </c>
      <c r="Y145">
        <v>8.3000000000000007</v>
      </c>
      <c r="Z145">
        <v>500</v>
      </c>
      <c r="AA145">
        <v>2000</v>
      </c>
      <c r="AB145">
        <v>50</v>
      </c>
      <c r="AC145" t="s">
        <v>40</v>
      </c>
    </row>
    <row r="146" spans="1:29" x14ac:dyDescent="0.25">
      <c r="A146" t="str">
        <f>"Raman_"&amp;E146&amp;"_"&amp;B146&amp;"_"&amp;AC146&amp;"_"&amp;TEXT(F146, "000")&amp;"_"&amp;TEXT(G146, "000")&amp;"_"&amp;H146&amp;".csv"</f>
        <v>Raman_EG_Pavlovagyrans_raw_002_003_D7.csv</v>
      </c>
      <c r="B146" t="s">
        <v>255</v>
      </c>
      <c r="C146" t="s">
        <v>30</v>
      </c>
      <c r="D146" t="s">
        <v>30</v>
      </c>
      <c r="E146" t="s">
        <v>31</v>
      </c>
      <c r="F146">
        <v>2</v>
      </c>
      <c r="G146">
        <v>3</v>
      </c>
      <c r="H146" t="s">
        <v>74</v>
      </c>
      <c r="I146" t="s">
        <v>256</v>
      </c>
      <c r="J146" t="s">
        <v>34</v>
      </c>
      <c r="L146" t="s">
        <v>30</v>
      </c>
      <c r="M146">
        <v>22</v>
      </c>
      <c r="N146" t="s">
        <v>46</v>
      </c>
      <c r="O146" t="s">
        <v>242</v>
      </c>
      <c r="P146">
        <v>0</v>
      </c>
      <c r="Q146">
        <v>50</v>
      </c>
      <c r="R146" t="s">
        <v>36</v>
      </c>
      <c r="S146">
        <v>12</v>
      </c>
      <c r="T146">
        <v>12</v>
      </c>
      <c r="U146" t="s">
        <v>112</v>
      </c>
      <c r="V146" t="s">
        <v>37</v>
      </c>
      <c r="W146">
        <v>450</v>
      </c>
      <c r="X146">
        <v>532</v>
      </c>
      <c r="Y146">
        <v>8.3000000000000007</v>
      </c>
      <c r="Z146">
        <v>500</v>
      </c>
      <c r="AA146">
        <v>2000</v>
      </c>
      <c r="AB146">
        <v>50</v>
      </c>
      <c r="AC146" t="s">
        <v>40</v>
      </c>
    </row>
    <row r="147" spans="1:29" x14ac:dyDescent="0.25">
      <c r="A147" t="str">
        <f>"Raman_"&amp;E147&amp;"_"&amp;B147&amp;"_"&amp;AC147&amp;"_"&amp;TEXT(F147, "000")&amp;"_"&amp;TEXT(G147, "000")&amp;"_"&amp;H147&amp;".csv"</f>
        <v>Raman_EG_Pavlovagyrans_raw_002_003_D8.csv</v>
      </c>
      <c r="B147" t="s">
        <v>255</v>
      </c>
      <c r="C147" t="s">
        <v>30</v>
      </c>
      <c r="D147" t="s">
        <v>30</v>
      </c>
      <c r="E147" t="s">
        <v>31</v>
      </c>
      <c r="F147">
        <v>2</v>
      </c>
      <c r="G147">
        <v>3</v>
      </c>
      <c r="H147" t="s">
        <v>75</v>
      </c>
      <c r="I147" t="s">
        <v>256</v>
      </c>
      <c r="J147" t="s">
        <v>34</v>
      </c>
      <c r="L147" t="s">
        <v>30</v>
      </c>
      <c r="M147">
        <v>22</v>
      </c>
      <c r="N147" t="s">
        <v>86</v>
      </c>
      <c r="O147" t="s">
        <v>242</v>
      </c>
      <c r="P147">
        <v>0</v>
      </c>
      <c r="Q147">
        <v>50</v>
      </c>
      <c r="R147" t="s">
        <v>36</v>
      </c>
      <c r="S147">
        <v>12</v>
      </c>
      <c r="T147">
        <v>12</v>
      </c>
      <c r="U147" t="s">
        <v>112</v>
      </c>
      <c r="V147" t="s">
        <v>37</v>
      </c>
      <c r="W147">
        <v>450</v>
      </c>
      <c r="X147">
        <v>532</v>
      </c>
      <c r="Y147">
        <v>8.3000000000000007</v>
      </c>
      <c r="Z147">
        <v>500</v>
      </c>
      <c r="AA147">
        <v>2000</v>
      </c>
      <c r="AB147">
        <v>50</v>
      </c>
      <c r="AC147" t="s">
        <v>40</v>
      </c>
    </row>
    <row r="148" spans="1:29" x14ac:dyDescent="0.25">
      <c r="A148" t="str">
        <f>"Raman_"&amp;E148&amp;"_"&amp;B148&amp;"_"&amp;AC148&amp;"_"&amp;TEXT(F148, "000")&amp;"_"&amp;TEXT(G148, "000")&amp;"_"&amp;H148&amp;".csv"</f>
        <v>Raman_EG_Pavlovagyrans_raw_002_003_E1.csv</v>
      </c>
      <c r="B148" t="s">
        <v>255</v>
      </c>
      <c r="C148" t="s">
        <v>30</v>
      </c>
      <c r="D148" t="s">
        <v>30</v>
      </c>
      <c r="E148" t="s">
        <v>31</v>
      </c>
      <c r="F148">
        <v>2</v>
      </c>
      <c r="G148">
        <v>3</v>
      </c>
      <c r="H148" t="s">
        <v>155</v>
      </c>
      <c r="I148" t="s">
        <v>256</v>
      </c>
      <c r="J148" t="s">
        <v>34</v>
      </c>
      <c r="L148" t="s">
        <v>30</v>
      </c>
      <c r="M148">
        <v>22</v>
      </c>
      <c r="N148" t="s">
        <v>35</v>
      </c>
      <c r="O148" t="s">
        <v>242</v>
      </c>
      <c r="P148">
        <v>0</v>
      </c>
      <c r="Q148">
        <v>50</v>
      </c>
      <c r="R148" t="s">
        <v>36</v>
      </c>
      <c r="S148">
        <v>12</v>
      </c>
      <c r="T148">
        <v>12</v>
      </c>
      <c r="U148" t="s">
        <v>112</v>
      </c>
      <c r="V148" t="s">
        <v>37</v>
      </c>
      <c r="W148">
        <v>450</v>
      </c>
      <c r="X148">
        <v>532</v>
      </c>
      <c r="Y148">
        <v>8.3000000000000007</v>
      </c>
      <c r="Z148">
        <v>500</v>
      </c>
      <c r="AA148">
        <v>2000</v>
      </c>
      <c r="AB148">
        <v>50</v>
      </c>
      <c r="AC148" t="s">
        <v>40</v>
      </c>
    </row>
    <row r="149" spans="1:29" x14ac:dyDescent="0.25">
      <c r="A149" t="str">
        <f>"Raman_"&amp;E149&amp;"_"&amp;B149&amp;"_"&amp;AC149&amp;"_"&amp;TEXT(F149, "000")&amp;"_"&amp;TEXT(G149, "000")&amp;"_"&amp;H149&amp;".csv"</f>
        <v>Raman_EG_Pavlovagyrans_raw_002_003_E2.csv</v>
      </c>
      <c r="B149" t="s">
        <v>255</v>
      </c>
      <c r="C149" t="s">
        <v>30</v>
      </c>
      <c r="D149" t="s">
        <v>30</v>
      </c>
      <c r="E149" t="s">
        <v>31</v>
      </c>
      <c r="F149">
        <v>2</v>
      </c>
      <c r="G149">
        <v>3</v>
      </c>
      <c r="H149" t="s">
        <v>79</v>
      </c>
      <c r="I149" t="s">
        <v>256</v>
      </c>
      <c r="J149" t="s">
        <v>34</v>
      </c>
      <c r="L149" t="s">
        <v>30</v>
      </c>
      <c r="M149">
        <v>22</v>
      </c>
      <c r="N149" t="s">
        <v>80</v>
      </c>
      <c r="O149" t="s">
        <v>242</v>
      </c>
      <c r="P149">
        <v>0</v>
      </c>
      <c r="Q149">
        <v>50</v>
      </c>
      <c r="R149" t="s">
        <v>36</v>
      </c>
      <c r="S149">
        <v>12</v>
      </c>
      <c r="T149">
        <v>12</v>
      </c>
      <c r="U149" t="s">
        <v>112</v>
      </c>
      <c r="V149" t="s">
        <v>37</v>
      </c>
      <c r="W149">
        <v>450</v>
      </c>
      <c r="X149">
        <v>532</v>
      </c>
      <c r="Y149">
        <v>8.3000000000000007</v>
      </c>
      <c r="Z149">
        <v>500</v>
      </c>
      <c r="AA149">
        <v>2000</v>
      </c>
      <c r="AB149">
        <v>50</v>
      </c>
      <c r="AC149" t="s">
        <v>40</v>
      </c>
    </row>
    <row r="150" spans="1:29" x14ac:dyDescent="0.25">
      <c r="A150" t="str">
        <f>"Raman_"&amp;E150&amp;"_"&amp;B150&amp;"_"&amp;AC150&amp;"_"&amp;TEXT(F150, "000")&amp;"_"&amp;TEXT(G150, "000")&amp;"_"&amp;H150&amp;".csv"</f>
        <v>Raman_EG_Pavlovagyrans_raw_002_003_E3.csv</v>
      </c>
      <c r="B150" t="s">
        <v>255</v>
      </c>
      <c r="C150" t="s">
        <v>30</v>
      </c>
      <c r="D150" t="s">
        <v>30</v>
      </c>
      <c r="E150" t="s">
        <v>31</v>
      </c>
      <c r="F150">
        <v>2</v>
      </c>
      <c r="G150">
        <v>3</v>
      </c>
      <c r="H150" t="s">
        <v>81</v>
      </c>
      <c r="I150" t="s">
        <v>256</v>
      </c>
      <c r="J150" t="s">
        <v>34</v>
      </c>
      <c r="L150" t="s">
        <v>30</v>
      </c>
      <c r="M150">
        <v>22</v>
      </c>
      <c r="N150" t="s">
        <v>42</v>
      </c>
      <c r="O150" t="s">
        <v>242</v>
      </c>
      <c r="P150">
        <v>0</v>
      </c>
      <c r="Q150">
        <v>50</v>
      </c>
      <c r="R150" t="s">
        <v>36</v>
      </c>
      <c r="S150">
        <v>12</v>
      </c>
      <c r="T150">
        <v>12</v>
      </c>
      <c r="U150" t="s">
        <v>112</v>
      </c>
      <c r="V150" t="s">
        <v>37</v>
      </c>
      <c r="W150">
        <v>450</v>
      </c>
      <c r="X150">
        <v>532</v>
      </c>
      <c r="Y150">
        <v>8.3000000000000007</v>
      </c>
      <c r="Z150">
        <v>500</v>
      </c>
      <c r="AA150">
        <v>2000</v>
      </c>
      <c r="AB150">
        <v>50</v>
      </c>
      <c r="AC150" t="s">
        <v>40</v>
      </c>
    </row>
    <row r="151" spans="1:29" x14ac:dyDescent="0.25">
      <c r="A151" t="str">
        <f>"Raman_"&amp;E151&amp;"_"&amp;B151&amp;"_"&amp;AC151&amp;"_"&amp;TEXT(F151, "000")&amp;"_"&amp;TEXT(G151, "000")&amp;"_"&amp;H151&amp;".csv"</f>
        <v>Raman_EG_Pavlovagyrans_raw_002_003_E4.csv</v>
      </c>
      <c r="B151" t="s">
        <v>255</v>
      </c>
      <c r="C151" t="s">
        <v>30</v>
      </c>
      <c r="D151" t="s">
        <v>30</v>
      </c>
      <c r="E151" t="s">
        <v>31</v>
      </c>
      <c r="F151">
        <v>2</v>
      </c>
      <c r="G151">
        <v>3</v>
      </c>
      <c r="H151" t="s">
        <v>83</v>
      </c>
      <c r="I151" t="s">
        <v>256</v>
      </c>
      <c r="J151" t="s">
        <v>34</v>
      </c>
      <c r="L151" t="s">
        <v>30</v>
      </c>
      <c r="M151">
        <v>22</v>
      </c>
      <c r="N151" t="s">
        <v>82</v>
      </c>
      <c r="O151" t="s">
        <v>242</v>
      </c>
      <c r="P151">
        <v>0</v>
      </c>
      <c r="Q151">
        <v>50</v>
      </c>
      <c r="R151" t="s">
        <v>36</v>
      </c>
      <c r="S151">
        <v>12</v>
      </c>
      <c r="T151">
        <v>12</v>
      </c>
      <c r="U151" t="s">
        <v>112</v>
      </c>
      <c r="V151" t="s">
        <v>37</v>
      </c>
      <c r="W151">
        <v>450</v>
      </c>
      <c r="X151">
        <v>532</v>
      </c>
      <c r="Y151">
        <v>8.3000000000000007</v>
      </c>
      <c r="Z151">
        <v>500</v>
      </c>
      <c r="AA151">
        <v>2000</v>
      </c>
      <c r="AB151">
        <v>50</v>
      </c>
      <c r="AC151" t="s">
        <v>40</v>
      </c>
    </row>
    <row r="152" spans="1:29" x14ac:dyDescent="0.25">
      <c r="A152" t="str">
        <f>"Raman_"&amp;E152&amp;"_"&amp;B152&amp;"_"&amp;AC152&amp;"_"&amp;TEXT(F152, "000")&amp;"_"&amp;TEXT(G152, "000")&amp;"_"&amp;H152&amp;".csv"</f>
        <v>Raman_EG_Pavlovagyrans_raw_002_003_E5.csv</v>
      </c>
      <c r="B152" t="s">
        <v>255</v>
      </c>
      <c r="C152" t="s">
        <v>30</v>
      </c>
      <c r="D152" t="s">
        <v>30</v>
      </c>
      <c r="E152" t="s">
        <v>31</v>
      </c>
      <c r="F152">
        <v>2</v>
      </c>
      <c r="G152">
        <v>3</v>
      </c>
      <c r="H152" t="s">
        <v>85</v>
      </c>
      <c r="I152" t="s">
        <v>256</v>
      </c>
      <c r="J152" t="s">
        <v>34</v>
      </c>
      <c r="L152" t="s">
        <v>30</v>
      </c>
      <c r="M152">
        <v>22</v>
      </c>
      <c r="N152" t="s">
        <v>44</v>
      </c>
      <c r="O152" t="s">
        <v>242</v>
      </c>
      <c r="P152">
        <v>0</v>
      </c>
      <c r="Q152">
        <v>50</v>
      </c>
      <c r="R152" t="s">
        <v>36</v>
      </c>
      <c r="S152">
        <v>12</v>
      </c>
      <c r="T152">
        <v>12</v>
      </c>
      <c r="U152" t="s">
        <v>112</v>
      </c>
      <c r="V152" t="s">
        <v>37</v>
      </c>
      <c r="W152">
        <v>450</v>
      </c>
      <c r="X152">
        <v>532</v>
      </c>
      <c r="Y152">
        <v>8.3000000000000007</v>
      </c>
      <c r="Z152">
        <v>500</v>
      </c>
      <c r="AA152">
        <v>2000</v>
      </c>
      <c r="AB152">
        <v>50</v>
      </c>
      <c r="AC152" t="s">
        <v>40</v>
      </c>
    </row>
    <row r="153" spans="1:29" x14ac:dyDescent="0.25">
      <c r="A153" t="str">
        <f>"Raman_"&amp;E153&amp;"_"&amp;B153&amp;"_"&amp;AC153&amp;"_"&amp;TEXT(F153, "000")&amp;"_"&amp;TEXT(G153, "000")&amp;"_"&amp;H153&amp;".csv"</f>
        <v>Raman_EG_Pavlovagyrans_raw_002_003_E6.csv</v>
      </c>
      <c r="B153" t="s">
        <v>255</v>
      </c>
      <c r="C153" t="s">
        <v>30</v>
      </c>
      <c r="D153" t="s">
        <v>30</v>
      </c>
      <c r="E153" t="s">
        <v>31</v>
      </c>
      <c r="F153">
        <v>2</v>
      </c>
      <c r="G153">
        <v>3</v>
      </c>
      <c r="H153" t="s">
        <v>87</v>
      </c>
      <c r="I153" t="s">
        <v>256</v>
      </c>
      <c r="J153" t="s">
        <v>34</v>
      </c>
      <c r="L153" t="s">
        <v>30</v>
      </c>
      <c r="M153">
        <v>22</v>
      </c>
      <c r="N153" t="s">
        <v>84</v>
      </c>
      <c r="O153" t="s">
        <v>242</v>
      </c>
      <c r="P153">
        <v>0</v>
      </c>
      <c r="Q153">
        <v>50</v>
      </c>
      <c r="R153" t="s">
        <v>36</v>
      </c>
      <c r="S153">
        <v>12</v>
      </c>
      <c r="T153">
        <v>12</v>
      </c>
      <c r="U153" t="s">
        <v>112</v>
      </c>
      <c r="V153" t="s">
        <v>37</v>
      </c>
      <c r="W153">
        <v>450</v>
      </c>
      <c r="X153">
        <v>532</v>
      </c>
      <c r="Y153">
        <v>8.3000000000000007</v>
      </c>
      <c r="Z153">
        <v>500</v>
      </c>
      <c r="AA153">
        <v>2000</v>
      </c>
      <c r="AB153">
        <v>50</v>
      </c>
      <c r="AC153" t="s">
        <v>40</v>
      </c>
    </row>
    <row r="154" spans="1:29" x14ac:dyDescent="0.25">
      <c r="A154" t="str">
        <f>"Raman_"&amp;E154&amp;"_"&amp;B154&amp;"_"&amp;AC154&amp;"_"&amp;TEXT(F154, "000")&amp;"_"&amp;TEXT(G154, "000")&amp;"_"&amp;H154&amp;".csv"</f>
        <v>Raman_EG_Pavlovagyrans_raw_002_003_E7.csv</v>
      </c>
      <c r="B154" t="s">
        <v>255</v>
      </c>
      <c r="C154" t="s">
        <v>30</v>
      </c>
      <c r="D154" t="s">
        <v>30</v>
      </c>
      <c r="E154" t="s">
        <v>31</v>
      </c>
      <c r="F154">
        <v>2</v>
      </c>
      <c r="G154">
        <v>3</v>
      </c>
      <c r="H154" t="s">
        <v>89</v>
      </c>
      <c r="I154" t="s">
        <v>256</v>
      </c>
      <c r="J154" t="s">
        <v>34</v>
      </c>
      <c r="L154" t="s">
        <v>30</v>
      </c>
      <c r="M154">
        <v>22</v>
      </c>
      <c r="N154" t="s">
        <v>46</v>
      </c>
      <c r="O154" t="s">
        <v>242</v>
      </c>
      <c r="P154">
        <v>0</v>
      </c>
      <c r="Q154">
        <v>50</v>
      </c>
      <c r="R154" t="s">
        <v>36</v>
      </c>
      <c r="S154">
        <v>12</v>
      </c>
      <c r="T154">
        <v>12</v>
      </c>
      <c r="U154" t="s">
        <v>112</v>
      </c>
      <c r="V154" t="s">
        <v>37</v>
      </c>
      <c r="W154">
        <v>450</v>
      </c>
      <c r="X154">
        <v>532</v>
      </c>
      <c r="Y154">
        <v>8.3000000000000007</v>
      </c>
      <c r="Z154">
        <v>500</v>
      </c>
      <c r="AA154">
        <v>2000</v>
      </c>
      <c r="AB154">
        <v>50</v>
      </c>
      <c r="AC154" t="s">
        <v>40</v>
      </c>
    </row>
    <row r="155" spans="1:29" x14ac:dyDescent="0.25">
      <c r="A155" t="str">
        <f>"Raman_"&amp;E155&amp;"_"&amp;B155&amp;"_"&amp;AC155&amp;"_"&amp;TEXT(F155, "000")&amp;"_"&amp;TEXT(G155, "000")&amp;"_"&amp;H155&amp;".csv"</f>
        <v>Raman_EG_Pavlovagyrans_raw_002_003_E8.csv</v>
      </c>
      <c r="B155" t="s">
        <v>255</v>
      </c>
      <c r="C155" t="s">
        <v>30</v>
      </c>
      <c r="D155" t="s">
        <v>30</v>
      </c>
      <c r="E155" t="s">
        <v>31</v>
      </c>
      <c r="F155">
        <v>2</v>
      </c>
      <c r="G155">
        <v>3</v>
      </c>
      <c r="H155" t="s">
        <v>91</v>
      </c>
      <c r="I155" t="s">
        <v>256</v>
      </c>
      <c r="J155" t="s">
        <v>34</v>
      </c>
      <c r="L155" t="s">
        <v>30</v>
      </c>
      <c r="M155">
        <v>22</v>
      </c>
      <c r="N155" t="s">
        <v>86</v>
      </c>
      <c r="O155" t="s">
        <v>242</v>
      </c>
      <c r="P155">
        <v>0</v>
      </c>
      <c r="Q155">
        <v>50</v>
      </c>
      <c r="R155" t="s">
        <v>36</v>
      </c>
      <c r="S155">
        <v>12</v>
      </c>
      <c r="T155">
        <v>12</v>
      </c>
      <c r="U155" t="s">
        <v>112</v>
      </c>
      <c r="V155" t="s">
        <v>37</v>
      </c>
      <c r="W155">
        <v>450</v>
      </c>
      <c r="X155">
        <v>532</v>
      </c>
      <c r="Y155">
        <v>8.3000000000000007</v>
      </c>
      <c r="Z155">
        <v>500</v>
      </c>
      <c r="AA155">
        <v>2000</v>
      </c>
      <c r="AB155">
        <v>50</v>
      </c>
      <c r="AC155" t="s">
        <v>40</v>
      </c>
    </row>
    <row r="156" spans="1:29" x14ac:dyDescent="0.25">
      <c r="A156" t="str">
        <f>"Raman_"&amp;E156&amp;"_"&amp;B156&amp;"_"&amp;AC156&amp;"_"&amp;TEXT(F156, "000")&amp;"_"&amp;TEXT(G156, "000")&amp;"_"&amp;H156&amp;".csv"</f>
        <v>Raman_EG_Pavlovagyrans_raw_002_003_F1.csv</v>
      </c>
      <c r="B156" t="s">
        <v>255</v>
      </c>
      <c r="C156" t="s">
        <v>30</v>
      </c>
      <c r="D156" t="s">
        <v>30</v>
      </c>
      <c r="E156" t="s">
        <v>31</v>
      </c>
      <c r="F156">
        <v>2</v>
      </c>
      <c r="G156">
        <v>3</v>
      </c>
      <c r="H156" t="s">
        <v>164</v>
      </c>
      <c r="I156" t="s">
        <v>256</v>
      </c>
      <c r="J156" t="s">
        <v>34</v>
      </c>
      <c r="L156" t="s">
        <v>30</v>
      </c>
      <c r="M156">
        <v>22</v>
      </c>
      <c r="N156" t="s">
        <v>35</v>
      </c>
      <c r="O156" t="s">
        <v>242</v>
      </c>
      <c r="P156">
        <v>0</v>
      </c>
      <c r="Q156">
        <v>50</v>
      </c>
      <c r="R156" t="s">
        <v>36</v>
      </c>
      <c r="S156">
        <v>12</v>
      </c>
      <c r="T156">
        <v>12</v>
      </c>
      <c r="U156" t="s">
        <v>112</v>
      </c>
      <c r="V156" t="s">
        <v>37</v>
      </c>
      <c r="W156">
        <v>450</v>
      </c>
      <c r="X156">
        <v>532</v>
      </c>
      <c r="Y156">
        <v>8.3000000000000007</v>
      </c>
      <c r="Z156">
        <v>500</v>
      </c>
      <c r="AA156">
        <v>2000</v>
      </c>
      <c r="AB156">
        <v>50</v>
      </c>
      <c r="AC156" t="s">
        <v>40</v>
      </c>
    </row>
    <row r="157" spans="1:29" x14ac:dyDescent="0.25">
      <c r="A157" t="str">
        <f>"Raman_"&amp;E157&amp;"_"&amp;B157&amp;"_"&amp;AC157&amp;"_"&amp;TEXT(F157, "000")&amp;"_"&amp;TEXT(G157, "000")&amp;"_"&amp;H157&amp;".csv"</f>
        <v>Raman_EG_Pavlovagyrans_raw_002_003_F2.csv</v>
      </c>
      <c r="B157" t="s">
        <v>255</v>
      </c>
      <c r="C157" t="s">
        <v>30</v>
      </c>
      <c r="D157" t="s">
        <v>30</v>
      </c>
      <c r="E157" t="s">
        <v>31</v>
      </c>
      <c r="F157">
        <v>2</v>
      </c>
      <c r="G157">
        <v>3</v>
      </c>
      <c r="H157" t="s">
        <v>98</v>
      </c>
      <c r="I157" t="s">
        <v>256</v>
      </c>
      <c r="J157" t="s">
        <v>34</v>
      </c>
      <c r="L157" t="s">
        <v>30</v>
      </c>
      <c r="M157">
        <v>22</v>
      </c>
      <c r="N157" t="s">
        <v>80</v>
      </c>
      <c r="O157" t="s">
        <v>242</v>
      </c>
      <c r="P157">
        <v>0</v>
      </c>
      <c r="Q157">
        <v>50</v>
      </c>
      <c r="R157" t="s">
        <v>36</v>
      </c>
      <c r="S157">
        <v>12</v>
      </c>
      <c r="T157">
        <v>12</v>
      </c>
      <c r="U157" t="s">
        <v>112</v>
      </c>
      <c r="V157" t="s">
        <v>37</v>
      </c>
      <c r="W157">
        <v>450</v>
      </c>
      <c r="X157">
        <v>532</v>
      </c>
      <c r="Y157">
        <v>8.3000000000000007</v>
      </c>
      <c r="Z157">
        <v>500</v>
      </c>
      <c r="AA157">
        <v>2000</v>
      </c>
      <c r="AB157">
        <v>50</v>
      </c>
      <c r="AC157" t="s">
        <v>40</v>
      </c>
    </row>
    <row r="158" spans="1:29" x14ac:dyDescent="0.25">
      <c r="A158" t="str">
        <f>"Raman_"&amp;E158&amp;"_"&amp;B158&amp;"_"&amp;AC158&amp;"_"&amp;TEXT(F158, "000")&amp;"_"&amp;TEXT(G158, "000")&amp;"_"&amp;H158&amp;".csv"</f>
        <v>Raman_EG_Pavlovagyrans_raw_002_003_F3.csv</v>
      </c>
      <c r="B158" t="s">
        <v>255</v>
      </c>
      <c r="C158" t="s">
        <v>30</v>
      </c>
      <c r="D158" t="s">
        <v>30</v>
      </c>
      <c r="E158" t="s">
        <v>31</v>
      </c>
      <c r="F158">
        <v>2</v>
      </c>
      <c r="G158">
        <v>3</v>
      </c>
      <c r="H158" t="s">
        <v>99</v>
      </c>
      <c r="I158" t="s">
        <v>256</v>
      </c>
      <c r="J158" t="s">
        <v>34</v>
      </c>
      <c r="L158" t="s">
        <v>30</v>
      </c>
      <c r="M158">
        <v>22</v>
      </c>
      <c r="N158" t="s">
        <v>42</v>
      </c>
      <c r="O158" t="s">
        <v>242</v>
      </c>
      <c r="P158">
        <v>0</v>
      </c>
      <c r="Q158">
        <v>50</v>
      </c>
      <c r="R158" t="s">
        <v>36</v>
      </c>
      <c r="S158">
        <v>12</v>
      </c>
      <c r="T158">
        <v>12</v>
      </c>
      <c r="U158" t="s">
        <v>112</v>
      </c>
      <c r="V158" t="s">
        <v>37</v>
      </c>
      <c r="W158">
        <v>450</v>
      </c>
      <c r="X158">
        <v>532</v>
      </c>
      <c r="Y158">
        <v>8.3000000000000007</v>
      </c>
      <c r="Z158">
        <v>500</v>
      </c>
      <c r="AA158">
        <v>2000</v>
      </c>
      <c r="AB158">
        <v>50</v>
      </c>
      <c r="AC158" t="s">
        <v>40</v>
      </c>
    </row>
    <row r="159" spans="1:29" x14ac:dyDescent="0.25">
      <c r="A159" t="str">
        <f>"Raman_"&amp;E159&amp;"_"&amp;B159&amp;"_"&amp;AC159&amp;"_"&amp;TEXT(F159, "000")&amp;"_"&amp;TEXT(G159, "000")&amp;"_"&amp;H159&amp;".csv"</f>
        <v>Raman_EG_Pavlovagyrans_raw_002_003_F4.csv</v>
      </c>
      <c r="B159" t="s">
        <v>255</v>
      </c>
      <c r="C159" t="s">
        <v>30</v>
      </c>
      <c r="D159" t="s">
        <v>30</v>
      </c>
      <c r="E159" t="s">
        <v>31</v>
      </c>
      <c r="F159">
        <v>2</v>
      </c>
      <c r="G159">
        <v>3</v>
      </c>
      <c r="H159" t="s">
        <v>100</v>
      </c>
      <c r="I159" t="s">
        <v>256</v>
      </c>
      <c r="J159" t="s">
        <v>34</v>
      </c>
      <c r="L159" t="s">
        <v>30</v>
      </c>
      <c r="M159">
        <v>22</v>
      </c>
      <c r="N159" t="s">
        <v>82</v>
      </c>
      <c r="O159" t="s">
        <v>242</v>
      </c>
      <c r="P159">
        <v>0</v>
      </c>
      <c r="Q159">
        <v>50</v>
      </c>
      <c r="R159" t="s">
        <v>36</v>
      </c>
      <c r="S159">
        <v>12</v>
      </c>
      <c r="T159">
        <v>12</v>
      </c>
      <c r="U159" t="s">
        <v>112</v>
      </c>
      <c r="V159" t="s">
        <v>37</v>
      </c>
      <c r="W159">
        <v>450</v>
      </c>
      <c r="X159">
        <v>532</v>
      </c>
      <c r="Y159">
        <v>8.3000000000000007</v>
      </c>
      <c r="Z159">
        <v>500</v>
      </c>
      <c r="AA159">
        <v>2000</v>
      </c>
      <c r="AB159">
        <v>50</v>
      </c>
      <c r="AC159" t="s">
        <v>40</v>
      </c>
    </row>
    <row r="160" spans="1:29" x14ac:dyDescent="0.25">
      <c r="A160" t="str">
        <f>"Raman_"&amp;E160&amp;"_"&amp;B160&amp;"_"&amp;AC160&amp;"_"&amp;TEXT(F160, "000")&amp;"_"&amp;TEXT(G160, "000")&amp;"_"&amp;H160&amp;".csv"</f>
        <v>Raman_EG_Pavlovagyrans_raw_002_003_F5.csv</v>
      </c>
      <c r="B160" t="s">
        <v>255</v>
      </c>
      <c r="C160" t="s">
        <v>30</v>
      </c>
      <c r="D160" t="s">
        <v>30</v>
      </c>
      <c r="E160" t="s">
        <v>31</v>
      </c>
      <c r="F160">
        <v>2</v>
      </c>
      <c r="G160">
        <v>3</v>
      </c>
      <c r="H160" t="s">
        <v>101</v>
      </c>
      <c r="I160" t="s">
        <v>256</v>
      </c>
      <c r="J160" t="s">
        <v>34</v>
      </c>
      <c r="L160" t="s">
        <v>30</v>
      </c>
      <c r="M160">
        <v>22</v>
      </c>
      <c r="N160" t="s">
        <v>44</v>
      </c>
      <c r="O160" t="s">
        <v>242</v>
      </c>
      <c r="P160">
        <v>0</v>
      </c>
      <c r="Q160">
        <v>50</v>
      </c>
      <c r="R160" t="s">
        <v>36</v>
      </c>
      <c r="S160">
        <v>12</v>
      </c>
      <c r="T160">
        <v>12</v>
      </c>
      <c r="U160" t="s">
        <v>112</v>
      </c>
      <c r="V160" t="s">
        <v>37</v>
      </c>
      <c r="W160">
        <v>450</v>
      </c>
      <c r="X160">
        <v>532</v>
      </c>
      <c r="Y160">
        <v>8.3000000000000007</v>
      </c>
      <c r="Z160">
        <v>500</v>
      </c>
      <c r="AA160">
        <v>2000</v>
      </c>
      <c r="AB160">
        <v>50</v>
      </c>
      <c r="AC160" t="s">
        <v>40</v>
      </c>
    </row>
    <row r="161" spans="1:29" x14ac:dyDescent="0.25">
      <c r="A161" t="str">
        <f>"Raman_"&amp;E161&amp;"_"&amp;B161&amp;"_"&amp;AC161&amp;"_"&amp;TEXT(F161, "000")&amp;"_"&amp;TEXT(G161, "000")&amp;"_"&amp;H161&amp;".csv"</f>
        <v>Raman_EG_Pavlovagyrans_raw_002_003_F6.csv</v>
      </c>
      <c r="B161" t="s">
        <v>255</v>
      </c>
      <c r="C161" t="s">
        <v>30</v>
      </c>
      <c r="D161" t="s">
        <v>30</v>
      </c>
      <c r="E161" t="s">
        <v>31</v>
      </c>
      <c r="F161">
        <v>2</v>
      </c>
      <c r="G161">
        <v>3</v>
      </c>
      <c r="H161" t="s">
        <v>102</v>
      </c>
      <c r="I161" t="s">
        <v>256</v>
      </c>
      <c r="J161" t="s">
        <v>34</v>
      </c>
      <c r="L161" t="s">
        <v>30</v>
      </c>
      <c r="M161">
        <v>22</v>
      </c>
      <c r="N161" t="s">
        <v>84</v>
      </c>
      <c r="O161" t="s">
        <v>242</v>
      </c>
      <c r="P161">
        <v>0</v>
      </c>
      <c r="Q161">
        <v>50</v>
      </c>
      <c r="R161" t="s">
        <v>36</v>
      </c>
      <c r="S161">
        <v>12</v>
      </c>
      <c r="T161">
        <v>12</v>
      </c>
      <c r="U161" t="s">
        <v>112</v>
      </c>
      <c r="V161" t="s">
        <v>37</v>
      </c>
      <c r="W161">
        <v>450</v>
      </c>
      <c r="X161">
        <v>532</v>
      </c>
      <c r="Y161">
        <v>8.3000000000000007</v>
      </c>
      <c r="Z161">
        <v>500</v>
      </c>
      <c r="AA161">
        <v>2000</v>
      </c>
      <c r="AB161">
        <v>50</v>
      </c>
      <c r="AC161" t="s">
        <v>40</v>
      </c>
    </row>
    <row r="162" spans="1:29" x14ac:dyDescent="0.25">
      <c r="A162" t="str">
        <f>"Raman_"&amp;E162&amp;"_"&amp;B162&amp;"_"&amp;AC162&amp;"_"&amp;TEXT(F162, "000")&amp;"_"&amp;TEXT(G162, "000")&amp;"_"&amp;H162&amp;".csv"</f>
        <v>Raman_EG_Pavlovagyrans_raw_002_003_F7.csv</v>
      </c>
      <c r="B162" t="s">
        <v>255</v>
      </c>
      <c r="C162" t="s">
        <v>30</v>
      </c>
      <c r="D162" t="s">
        <v>30</v>
      </c>
      <c r="E162" t="s">
        <v>31</v>
      </c>
      <c r="F162">
        <v>2</v>
      </c>
      <c r="G162">
        <v>3</v>
      </c>
      <c r="H162" t="s">
        <v>103</v>
      </c>
      <c r="I162" t="s">
        <v>256</v>
      </c>
      <c r="J162" t="s">
        <v>34</v>
      </c>
      <c r="L162" t="s">
        <v>30</v>
      </c>
      <c r="M162">
        <v>22</v>
      </c>
      <c r="N162" t="s">
        <v>46</v>
      </c>
      <c r="O162" t="s">
        <v>242</v>
      </c>
      <c r="P162">
        <v>0</v>
      </c>
      <c r="Q162">
        <v>50</v>
      </c>
      <c r="R162" t="s">
        <v>36</v>
      </c>
      <c r="S162">
        <v>12</v>
      </c>
      <c r="T162">
        <v>12</v>
      </c>
      <c r="U162" t="s">
        <v>112</v>
      </c>
      <c r="V162" t="s">
        <v>37</v>
      </c>
      <c r="W162">
        <v>450</v>
      </c>
      <c r="X162">
        <v>532</v>
      </c>
      <c r="Y162">
        <v>8.3000000000000007</v>
      </c>
      <c r="Z162">
        <v>500</v>
      </c>
      <c r="AA162">
        <v>2000</v>
      </c>
      <c r="AB162">
        <v>50</v>
      </c>
      <c r="AC162" t="s">
        <v>40</v>
      </c>
    </row>
    <row r="163" spans="1:29" x14ac:dyDescent="0.25">
      <c r="A163" t="str">
        <f>"Raman_"&amp;E163&amp;"_"&amp;B163&amp;"_"&amp;AC163&amp;"_"&amp;TEXT(F163, "000")&amp;"_"&amp;TEXT(G163, "000")&amp;"_"&amp;H163&amp;".csv"</f>
        <v>Raman_EG_Pavlovagyrans_raw_002_003_F8.csv</v>
      </c>
      <c r="B163" t="s">
        <v>255</v>
      </c>
      <c r="C163" t="s">
        <v>30</v>
      </c>
      <c r="D163" t="s">
        <v>30</v>
      </c>
      <c r="E163" t="s">
        <v>31</v>
      </c>
      <c r="F163">
        <v>2</v>
      </c>
      <c r="G163">
        <v>3</v>
      </c>
      <c r="H163" t="s">
        <v>104</v>
      </c>
      <c r="I163" t="s">
        <v>256</v>
      </c>
      <c r="J163" t="s">
        <v>34</v>
      </c>
      <c r="L163" t="s">
        <v>30</v>
      </c>
      <c r="M163">
        <v>22</v>
      </c>
      <c r="N163" t="s">
        <v>86</v>
      </c>
      <c r="O163" t="s">
        <v>242</v>
      </c>
      <c r="P163">
        <v>0</v>
      </c>
      <c r="Q163">
        <v>50</v>
      </c>
      <c r="R163" t="s">
        <v>36</v>
      </c>
      <c r="S163">
        <v>12</v>
      </c>
      <c r="T163">
        <v>12</v>
      </c>
      <c r="U163" t="s">
        <v>112</v>
      </c>
      <c r="V163" t="s">
        <v>37</v>
      </c>
      <c r="W163">
        <v>450</v>
      </c>
      <c r="X163">
        <v>532</v>
      </c>
      <c r="Y163">
        <v>8.3000000000000007</v>
      </c>
      <c r="Z163">
        <v>500</v>
      </c>
      <c r="AA163">
        <v>2000</v>
      </c>
      <c r="AB163">
        <v>50</v>
      </c>
      <c r="AC163" t="s">
        <v>40</v>
      </c>
    </row>
    <row r="164" spans="1:29" x14ac:dyDescent="0.25">
      <c r="A164" t="str">
        <f>"Raman_"&amp;E164&amp;"_"&amp;B164&amp;"_"&amp;AC164&amp;"_"&amp;TEXT(F164, "000")&amp;"_"&amp;TEXT(G164, "000")&amp;"_"&amp;H164&amp;".csv"</f>
        <v>Raman_EG_Pavlovagyrans_raw_002_004_A1.csv</v>
      </c>
      <c r="B164" t="s">
        <v>255</v>
      </c>
      <c r="C164" t="s">
        <v>30</v>
      </c>
      <c r="D164" t="s">
        <v>30</v>
      </c>
      <c r="E164" t="s">
        <v>31</v>
      </c>
      <c r="F164">
        <v>2</v>
      </c>
      <c r="G164">
        <v>4</v>
      </c>
      <c r="H164" t="s">
        <v>110</v>
      </c>
      <c r="I164" t="s">
        <v>256</v>
      </c>
      <c r="J164" t="s">
        <v>34</v>
      </c>
      <c r="L164" t="s">
        <v>30</v>
      </c>
      <c r="M164">
        <v>22</v>
      </c>
      <c r="N164" t="s">
        <v>48</v>
      </c>
      <c r="O164" t="s">
        <v>243</v>
      </c>
      <c r="P164">
        <v>0</v>
      </c>
      <c r="Q164">
        <v>50</v>
      </c>
      <c r="R164" t="s">
        <v>36</v>
      </c>
      <c r="S164">
        <v>12</v>
      </c>
      <c r="T164">
        <v>12</v>
      </c>
      <c r="U164" t="s">
        <v>112</v>
      </c>
      <c r="V164" t="s">
        <v>37</v>
      </c>
      <c r="W164">
        <v>450</v>
      </c>
      <c r="X164">
        <v>532</v>
      </c>
      <c r="Y164">
        <v>8.3000000000000007</v>
      </c>
      <c r="Z164">
        <v>500</v>
      </c>
      <c r="AA164">
        <v>2000</v>
      </c>
      <c r="AB164">
        <v>50</v>
      </c>
      <c r="AC164" t="s">
        <v>40</v>
      </c>
    </row>
    <row r="165" spans="1:29" x14ac:dyDescent="0.25">
      <c r="A165" t="str">
        <f>"Raman_"&amp;E165&amp;"_"&amp;B165&amp;"_"&amp;AC165&amp;"_"&amp;TEXT(F165, "000")&amp;"_"&amp;TEXT(G165, "000")&amp;"_"&amp;H165&amp;".csv"</f>
        <v>Raman_EG_Pavlovagyrans_raw_002_004_A2.csv</v>
      </c>
      <c r="B165" t="s">
        <v>255</v>
      </c>
      <c r="C165" t="s">
        <v>30</v>
      </c>
      <c r="D165" t="s">
        <v>30</v>
      </c>
      <c r="E165" t="s">
        <v>31</v>
      </c>
      <c r="F165">
        <v>2</v>
      </c>
      <c r="G165">
        <v>4</v>
      </c>
      <c r="H165" t="s">
        <v>114</v>
      </c>
      <c r="I165" t="s">
        <v>256</v>
      </c>
      <c r="J165" t="s">
        <v>34</v>
      </c>
      <c r="L165" t="s">
        <v>30</v>
      </c>
      <c r="M165">
        <v>22</v>
      </c>
      <c r="N165" t="s">
        <v>88</v>
      </c>
      <c r="O165" t="s">
        <v>243</v>
      </c>
      <c r="P165">
        <v>0</v>
      </c>
      <c r="Q165">
        <v>50</v>
      </c>
      <c r="R165" t="s">
        <v>36</v>
      </c>
      <c r="S165">
        <v>12</v>
      </c>
      <c r="T165">
        <v>12</v>
      </c>
      <c r="U165" t="s">
        <v>112</v>
      </c>
      <c r="V165" t="s">
        <v>37</v>
      </c>
      <c r="W165">
        <v>450</v>
      </c>
      <c r="X165">
        <v>532</v>
      </c>
      <c r="Y165">
        <v>8.3000000000000007</v>
      </c>
      <c r="Z165">
        <v>500</v>
      </c>
      <c r="AA165">
        <v>2000</v>
      </c>
      <c r="AB165">
        <v>50</v>
      </c>
      <c r="AC165" t="s">
        <v>40</v>
      </c>
    </row>
    <row r="166" spans="1:29" x14ac:dyDescent="0.25">
      <c r="A166" t="str">
        <f>"Raman_"&amp;E166&amp;"_"&amp;B166&amp;"_"&amp;AC166&amp;"_"&amp;TEXT(F166, "000")&amp;"_"&amp;TEXT(G166, "000")&amp;"_"&amp;H166&amp;".csv"</f>
        <v>Raman_EG_Pavlovagyrans_raw_002_004_A3.csv</v>
      </c>
      <c r="B166" t="s">
        <v>255</v>
      </c>
      <c r="C166" t="s">
        <v>30</v>
      </c>
      <c r="D166" t="s">
        <v>30</v>
      </c>
      <c r="E166" t="s">
        <v>31</v>
      </c>
      <c r="F166">
        <v>2</v>
      </c>
      <c r="G166">
        <v>4</v>
      </c>
      <c r="H166" t="s">
        <v>116</v>
      </c>
      <c r="I166" t="s">
        <v>256</v>
      </c>
      <c r="J166" t="s">
        <v>34</v>
      </c>
      <c r="L166" t="s">
        <v>30</v>
      </c>
      <c r="M166">
        <v>22</v>
      </c>
      <c r="N166" t="s">
        <v>50</v>
      </c>
      <c r="O166" t="s">
        <v>243</v>
      </c>
      <c r="P166">
        <v>0</v>
      </c>
      <c r="Q166">
        <v>50</v>
      </c>
      <c r="R166" t="s">
        <v>36</v>
      </c>
      <c r="S166">
        <v>12</v>
      </c>
      <c r="T166">
        <v>12</v>
      </c>
      <c r="U166" t="s">
        <v>112</v>
      </c>
      <c r="V166" t="s">
        <v>37</v>
      </c>
      <c r="W166">
        <v>450</v>
      </c>
      <c r="X166">
        <v>532</v>
      </c>
      <c r="Y166">
        <v>8.3000000000000007</v>
      </c>
      <c r="Z166">
        <v>500</v>
      </c>
      <c r="AA166">
        <v>2000</v>
      </c>
      <c r="AB166">
        <v>50</v>
      </c>
      <c r="AC166" t="s">
        <v>40</v>
      </c>
    </row>
    <row r="167" spans="1:29" x14ac:dyDescent="0.25">
      <c r="A167" t="str">
        <f>"Raman_"&amp;E167&amp;"_"&amp;B167&amp;"_"&amp;AC167&amp;"_"&amp;TEXT(F167, "000")&amp;"_"&amp;TEXT(G167, "000")&amp;"_"&amp;H167&amp;".csv"</f>
        <v>Raman_EG_Pavlovagyrans_raw_002_004_A4.csv</v>
      </c>
      <c r="B167" t="s">
        <v>255</v>
      </c>
      <c r="C167" t="s">
        <v>30</v>
      </c>
      <c r="D167" t="s">
        <v>30</v>
      </c>
      <c r="E167" t="s">
        <v>31</v>
      </c>
      <c r="F167">
        <v>2</v>
      </c>
      <c r="G167">
        <v>4</v>
      </c>
      <c r="H167" t="s">
        <v>118</v>
      </c>
      <c r="I167" t="s">
        <v>256</v>
      </c>
      <c r="J167" t="s">
        <v>34</v>
      </c>
      <c r="L167" t="s">
        <v>30</v>
      </c>
      <c r="M167">
        <v>22</v>
      </c>
      <c r="N167" t="s">
        <v>90</v>
      </c>
      <c r="O167" t="s">
        <v>243</v>
      </c>
      <c r="P167">
        <v>0</v>
      </c>
      <c r="Q167">
        <v>50</v>
      </c>
      <c r="R167" t="s">
        <v>36</v>
      </c>
      <c r="S167">
        <v>12</v>
      </c>
      <c r="T167">
        <v>12</v>
      </c>
      <c r="U167" t="s">
        <v>112</v>
      </c>
      <c r="V167" t="s">
        <v>37</v>
      </c>
      <c r="W167">
        <v>450</v>
      </c>
      <c r="X167">
        <v>532</v>
      </c>
      <c r="Y167">
        <v>8.3000000000000007</v>
      </c>
      <c r="Z167">
        <v>500</v>
      </c>
      <c r="AA167">
        <v>2000</v>
      </c>
      <c r="AB167">
        <v>50</v>
      </c>
      <c r="AC167" t="s">
        <v>40</v>
      </c>
    </row>
    <row r="168" spans="1:29" x14ac:dyDescent="0.25">
      <c r="A168" t="str">
        <f>"Raman_"&amp;E168&amp;"_"&amp;B168&amp;"_"&amp;AC168&amp;"_"&amp;TEXT(F168, "000")&amp;"_"&amp;TEXT(G168, "000")&amp;"_"&amp;H168&amp;".csv"</f>
        <v>Raman_EG_Pavlovagyrans_raw_002_004_A5.csv</v>
      </c>
      <c r="B168" t="s">
        <v>255</v>
      </c>
      <c r="C168" t="s">
        <v>30</v>
      </c>
      <c r="D168" t="s">
        <v>30</v>
      </c>
      <c r="E168" t="s">
        <v>31</v>
      </c>
      <c r="F168">
        <v>2</v>
      </c>
      <c r="G168">
        <v>4</v>
      </c>
      <c r="H168" t="s">
        <v>120</v>
      </c>
      <c r="I168" t="s">
        <v>256</v>
      </c>
      <c r="J168" t="s">
        <v>34</v>
      </c>
      <c r="L168" t="s">
        <v>30</v>
      </c>
      <c r="M168">
        <v>22</v>
      </c>
      <c r="N168" t="s">
        <v>52</v>
      </c>
      <c r="O168" t="s">
        <v>243</v>
      </c>
      <c r="P168">
        <v>0</v>
      </c>
      <c r="Q168">
        <v>50</v>
      </c>
      <c r="R168" t="s">
        <v>36</v>
      </c>
      <c r="S168">
        <v>12</v>
      </c>
      <c r="T168">
        <v>12</v>
      </c>
      <c r="U168" t="s">
        <v>112</v>
      </c>
      <c r="V168" t="s">
        <v>37</v>
      </c>
      <c r="W168">
        <v>450</v>
      </c>
      <c r="X168">
        <v>532</v>
      </c>
      <c r="Y168">
        <v>8.3000000000000007</v>
      </c>
      <c r="Z168">
        <v>500</v>
      </c>
      <c r="AA168">
        <v>2000</v>
      </c>
      <c r="AB168">
        <v>50</v>
      </c>
      <c r="AC168" t="s">
        <v>40</v>
      </c>
    </row>
    <row r="169" spans="1:29" x14ac:dyDescent="0.25">
      <c r="A169" t="str">
        <f>"Raman_"&amp;E169&amp;"_"&amp;B169&amp;"_"&amp;AC169&amp;"_"&amp;TEXT(F169, "000")&amp;"_"&amp;TEXT(G169, "000")&amp;"_"&amp;H169&amp;".csv"</f>
        <v>Raman_EG_Pavlovagyrans_raw_002_004_A6.csv</v>
      </c>
      <c r="B169" t="s">
        <v>255</v>
      </c>
      <c r="C169" t="s">
        <v>30</v>
      </c>
      <c r="D169" t="s">
        <v>30</v>
      </c>
      <c r="E169" t="s">
        <v>31</v>
      </c>
      <c r="F169">
        <v>2</v>
      </c>
      <c r="G169">
        <v>4</v>
      </c>
      <c r="H169" t="s">
        <v>122</v>
      </c>
      <c r="I169" t="s">
        <v>256</v>
      </c>
      <c r="J169" t="s">
        <v>34</v>
      </c>
      <c r="L169" t="s">
        <v>30</v>
      </c>
      <c r="M169">
        <v>22</v>
      </c>
      <c r="N169" t="s">
        <v>92</v>
      </c>
      <c r="O169" t="s">
        <v>243</v>
      </c>
      <c r="P169">
        <v>0</v>
      </c>
      <c r="Q169">
        <v>50</v>
      </c>
      <c r="R169" t="s">
        <v>36</v>
      </c>
      <c r="S169">
        <v>12</v>
      </c>
      <c r="T169">
        <v>12</v>
      </c>
      <c r="U169" t="s">
        <v>112</v>
      </c>
      <c r="V169" t="s">
        <v>37</v>
      </c>
      <c r="W169">
        <v>450</v>
      </c>
      <c r="X169">
        <v>532</v>
      </c>
      <c r="Y169">
        <v>8.3000000000000007</v>
      </c>
      <c r="Z169">
        <v>500</v>
      </c>
      <c r="AA169">
        <v>2000</v>
      </c>
      <c r="AB169">
        <v>50</v>
      </c>
      <c r="AC169" t="s">
        <v>40</v>
      </c>
    </row>
    <row r="170" spans="1:29" x14ac:dyDescent="0.25">
      <c r="A170" t="str">
        <f>"Raman_"&amp;E170&amp;"_"&amp;B170&amp;"_"&amp;AC170&amp;"_"&amp;TEXT(F170, "000")&amp;"_"&amp;TEXT(G170, "000")&amp;"_"&amp;H170&amp;".csv"</f>
        <v>Raman_EG_Pavlovagyrans_raw_002_004_A7.csv</v>
      </c>
      <c r="B170" t="s">
        <v>255</v>
      </c>
      <c r="C170" t="s">
        <v>30</v>
      </c>
      <c r="D170" t="s">
        <v>30</v>
      </c>
      <c r="E170" t="s">
        <v>31</v>
      </c>
      <c r="F170">
        <v>2</v>
      </c>
      <c r="G170">
        <v>4</v>
      </c>
      <c r="H170" t="s">
        <v>124</v>
      </c>
      <c r="I170" t="s">
        <v>256</v>
      </c>
      <c r="J170" t="s">
        <v>34</v>
      </c>
      <c r="L170" t="s">
        <v>30</v>
      </c>
      <c r="M170">
        <v>22</v>
      </c>
      <c r="N170" t="s">
        <v>54</v>
      </c>
      <c r="O170" t="s">
        <v>243</v>
      </c>
      <c r="P170">
        <v>0</v>
      </c>
      <c r="Q170">
        <v>50</v>
      </c>
      <c r="R170" t="s">
        <v>36</v>
      </c>
      <c r="S170">
        <v>12</v>
      </c>
      <c r="T170">
        <v>12</v>
      </c>
      <c r="U170" t="s">
        <v>112</v>
      </c>
      <c r="V170" t="s">
        <v>37</v>
      </c>
      <c r="W170">
        <v>450</v>
      </c>
      <c r="X170">
        <v>532</v>
      </c>
      <c r="Y170">
        <v>8.3000000000000007</v>
      </c>
      <c r="Z170">
        <v>500</v>
      </c>
      <c r="AA170">
        <v>2000</v>
      </c>
      <c r="AB170">
        <v>50</v>
      </c>
      <c r="AC170" t="s">
        <v>40</v>
      </c>
    </row>
    <row r="171" spans="1:29" x14ac:dyDescent="0.25">
      <c r="A171" t="str">
        <f>"Raman_"&amp;E171&amp;"_"&amp;B171&amp;"_"&amp;AC171&amp;"_"&amp;TEXT(F171, "000")&amp;"_"&amp;TEXT(G171, "000")&amp;"_"&amp;H171&amp;".csv"</f>
        <v>Raman_EG_Pavlovagyrans_raw_002_004_A8.csv</v>
      </c>
      <c r="B171" t="s">
        <v>255</v>
      </c>
      <c r="C171" t="s">
        <v>30</v>
      </c>
      <c r="D171" t="s">
        <v>30</v>
      </c>
      <c r="E171" t="s">
        <v>31</v>
      </c>
      <c r="F171">
        <v>2</v>
      </c>
      <c r="G171">
        <v>4</v>
      </c>
      <c r="H171" t="s">
        <v>126</v>
      </c>
      <c r="I171" t="s">
        <v>256</v>
      </c>
      <c r="J171" t="s">
        <v>34</v>
      </c>
      <c r="L171" t="s">
        <v>30</v>
      </c>
      <c r="M171">
        <v>22</v>
      </c>
      <c r="N171" t="s">
        <v>94</v>
      </c>
      <c r="O171" t="s">
        <v>243</v>
      </c>
      <c r="P171">
        <v>0</v>
      </c>
      <c r="Q171">
        <v>50</v>
      </c>
      <c r="R171" t="s">
        <v>36</v>
      </c>
      <c r="S171">
        <v>12</v>
      </c>
      <c r="T171">
        <v>12</v>
      </c>
      <c r="U171" t="s">
        <v>112</v>
      </c>
      <c r="V171" t="s">
        <v>37</v>
      </c>
      <c r="W171">
        <v>450</v>
      </c>
      <c r="X171">
        <v>532</v>
      </c>
      <c r="Y171">
        <v>8.3000000000000007</v>
      </c>
      <c r="Z171">
        <v>500</v>
      </c>
      <c r="AA171">
        <v>2000</v>
      </c>
      <c r="AB171">
        <v>50</v>
      </c>
      <c r="AC171" t="s">
        <v>40</v>
      </c>
    </row>
    <row r="172" spans="1:29" x14ac:dyDescent="0.25">
      <c r="A172" t="str">
        <f>"Raman_"&amp;E172&amp;"_"&amp;B172&amp;"_"&amp;AC172&amp;"_"&amp;TEXT(F172, "000")&amp;"_"&amp;TEXT(G172, "000")&amp;"_"&amp;H172&amp;".csv"</f>
        <v>Raman_EG_Pavlovagyrans_raw_002_004_A9.csv</v>
      </c>
      <c r="B172" t="s">
        <v>255</v>
      </c>
      <c r="C172" t="s">
        <v>30</v>
      </c>
      <c r="D172" t="s">
        <v>30</v>
      </c>
      <c r="E172" t="s">
        <v>31</v>
      </c>
      <c r="F172">
        <v>2</v>
      </c>
      <c r="G172">
        <v>4</v>
      </c>
      <c r="H172" t="s">
        <v>182</v>
      </c>
      <c r="I172" t="s">
        <v>256</v>
      </c>
      <c r="J172" t="s">
        <v>34</v>
      </c>
      <c r="L172" t="s">
        <v>30</v>
      </c>
      <c r="M172">
        <v>22</v>
      </c>
      <c r="N172" t="s">
        <v>56</v>
      </c>
      <c r="O172" t="s">
        <v>243</v>
      </c>
      <c r="P172">
        <v>0</v>
      </c>
      <c r="Q172">
        <v>50</v>
      </c>
      <c r="R172" t="s">
        <v>36</v>
      </c>
      <c r="S172">
        <v>12</v>
      </c>
      <c r="T172">
        <v>12</v>
      </c>
      <c r="U172" t="s">
        <v>112</v>
      </c>
      <c r="V172" t="s">
        <v>37</v>
      </c>
      <c r="W172">
        <v>450</v>
      </c>
      <c r="X172">
        <v>532</v>
      </c>
      <c r="Y172">
        <v>8.3000000000000007</v>
      </c>
      <c r="Z172">
        <v>500</v>
      </c>
      <c r="AA172">
        <v>2000</v>
      </c>
      <c r="AB172">
        <v>50</v>
      </c>
      <c r="AC172" t="s">
        <v>40</v>
      </c>
    </row>
    <row r="173" spans="1:29" x14ac:dyDescent="0.25">
      <c r="A173" t="str">
        <f>"Raman_"&amp;E173&amp;"_"&amp;B173&amp;"_"&amp;AC173&amp;"_"&amp;TEXT(F173, "000")&amp;"_"&amp;TEXT(G173, "000")&amp;"_"&amp;H173&amp;".csv"</f>
        <v>Raman_EG_Pavlovagyrans_raw_002_004_A10.csv</v>
      </c>
      <c r="B173" t="s">
        <v>255</v>
      </c>
      <c r="C173" t="s">
        <v>30</v>
      </c>
      <c r="D173" t="s">
        <v>30</v>
      </c>
      <c r="E173" t="s">
        <v>31</v>
      </c>
      <c r="F173">
        <v>2</v>
      </c>
      <c r="G173">
        <v>4</v>
      </c>
      <c r="H173" t="s">
        <v>184</v>
      </c>
      <c r="I173" t="s">
        <v>256</v>
      </c>
      <c r="J173" t="s">
        <v>34</v>
      </c>
      <c r="L173" t="s">
        <v>30</v>
      </c>
      <c r="M173">
        <v>22</v>
      </c>
      <c r="N173" t="s">
        <v>96</v>
      </c>
      <c r="O173" t="s">
        <v>243</v>
      </c>
      <c r="P173">
        <v>0</v>
      </c>
      <c r="Q173">
        <v>50</v>
      </c>
      <c r="R173" t="s">
        <v>36</v>
      </c>
      <c r="S173">
        <v>12</v>
      </c>
      <c r="T173">
        <v>12</v>
      </c>
      <c r="U173" t="s">
        <v>112</v>
      </c>
      <c r="V173" t="s">
        <v>37</v>
      </c>
      <c r="W173">
        <v>450</v>
      </c>
      <c r="X173">
        <v>532</v>
      </c>
      <c r="Y173">
        <v>8.3000000000000007</v>
      </c>
      <c r="Z173">
        <v>500</v>
      </c>
      <c r="AA173">
        <v>2000</v>
      </c>
      <c r="AB173">
        <v>50</v>
      </c>
      <c r="AC173" t="s">
        <v>40</v>
      </c>
    </row>
    <row r="174" spans="1:29" x14ac:dyDescent="0.25">
      <c r="A174" t="str">
        <f>"Raman_"&amp;E174&amp;"_"&amp;B174&amp;"_"&amp;AC174&amp;"_"&amp;TEXT(F174, "000")&amp;"_"&amp;TEXT(G174, "000")&amp;"_"&amp;H174&amp;".csv"</f>
        <v>Raman_EG_Pavlovagyrans_raw_002_004_A11.csv</v>
      </c>
      <c r="B174" t="s">
        <v>255</v>
      </c>
      <c r="C174" t="s">
        <v>30</v>
      </c>
      <c r="D174" t="s">
        <v>30</v>
      </c>
      <c r="E174" t="s">
        <v>31</v>
      </c>
      <c r="F174">
        <v>2</v>
      </c>
      <c r="G174">
        <v>4</v>
      </c>
      <c r="H174" t="s">
        <v>186</v>
      </c>
      <c r="I174" t="s">
        <v>256</v>
      </c>
      <c r="J174" t="s">
        <v>34</v>
      </c>
      <c r="L174" t="s">
        <v>30</v>
      </c>
      <c r="M174">
        <v>22</v>
      </c>
      <c r="N174" t="s">
        <v>58</v>
      </c>
      <c r="O174" t="s">
        <v>243</v>
      </c>
      <c r="P174">
        <v>0</v>
      </c>
      <c r="Q174">
        <v>50</v>
      </c>
      <c r="R174" t="s">
        <v>36</v>
      </c>
      <c r="S174">
        <v>12</v>
      </c>
      <c r="T174">
        <v>12</v>
      </c>
      <c r="U174" t="s">
        <v>112</v>
      </c>
      <c r="V174" t="s">
        <v>37</v>
      </c>
      <c r="W174">
        <v>450</v>
      </c>
      <c r="X174">
        <v>532</v>
      </c>
      <c r="Y174">
        <v>8.3000000000000007</v>
      </c>
      <c r="Z174">
        <v>500</v>
      </c>
      <c r="AA174">
        <v>2000</v>
      </c>
      <c r="AB174">
        <v>50</v>
      </c>
      <c r="AC174" t="s">
        <v>40</v>
      </c>
    </row>
    <row r="175" spans="1:29" x14ac:dyDescent="0.25">
      <c r="A175" t="str">
        <f>"Raman_"&amp;E175&amp;"_"&amp;B175&amp;"_"&amp;AC175&amp;"_"&amp;TEXT(F175, "000")&amp;"_"&amp;TEXT(G175, "000")&amp;"_"&amp;H175&amp;".csv"</f>
        <v>Raman_EG_Pavlovagyrans_raw_002_004_B1.csv</v>
      </c>
      <c r="B175" t="s">
        <v>255</v>
      </c>
      <c r="C175" t="s">
        <v>30</v>
      </c>
      <c r="D175" t="s">
        <v>30</v>
      </c>
      <c r="E175" t="s">
        <v>31</v>
      </c>
      <c r="F175">
        <v>2</v>
      </c>
      <c r="G175">
        <v>4</v>
      </c>
      <c r="H175" t="s">
        <v>128</v>
      </c>
      <c r="I175" t="s">
        <v>256</v>
      </c>
      <c r="J175" t="s">
        <v>34</v>
      </c>
      <c r="L175" t="s">
        <v>30</v>
      </c>
      <c r="M175">
        <v>22</v>
      </c>
      <c r="N175" t="s">
        <v>48</v>
      </c>
      <c r="O175" t="s">
        <v>243</v>
      </c>
      <c r="P175">
        <v>0</v>
      </c>
      <c r="Q175">
        <v>50</v>
      </c>
      <c r="R175" t="s">
        <v>36</v>
      </c>
      <c r="S175">
        <v>12</v>
      </c>
      <c r="T175">
        <v>12</v>
      </c>
      <c r="U175" t="s">
        <v>112</v>
      </c>
      <c r="V175" t="s">
        <v>37</v>
      </c>
      <c r="W175">
        <v>450</v>
      </c>
      <c r="X175">
        <v>532</v>
      </c>
      <c r="Y175">
        <v>8.3000000000000007</v>
      </c>
      <c r="Z175">
        <v>500</v>
      </c>
      <c r="AA175">
        <v>2000</v>
      </c>
      <c r="AB175">
        <v>50</v>
      </c>
      <c r="AC175" t="s">
        <v>40</v>
      </c>
    </row>
    <row r="176" spans="1:29" x14ac:dyDescent="0.25">
      <c r="A176" t="str">
        <f>"Raman_"&amp;E176&amp;"_"&amp;B176&amp;"_"&amp;AC176&amp;"_"&amp;TEXT(F176, "000")&amp;"_"&amp;TEXT(G176, "000")&amp;"_"&amp;H176&amp;".csv"</f>
        <v>Raman_EG_Pavlovagyrans_raw_002_004_B2.csv</v>
      </c>
      <c r="B176" t="s">
        <v>255</v>
      </c>
      <c r="C176" t="s">
        <v>30</v>
      </c>
      <c r="D176" t="s">
        <v>30</v>
      </c>
      <c r="E176" t="s">
        <v>31</v>
      </c>
      <c r="F176">
        <v>2</v>
      </c>
      <c r="G176">
        <v>4</v>
      </c>
      <c r="H176" t="s">
        <v>32</v>
      </c>
      <c r="I176" t="s">
        <v>256</v>
      </c>
      <c r="J176" t="s">
        <v>34</v>
      </c>
      <c r="L176" t="s">
        <v>30</v>
      </c>
      <c r="M176">
        <v>22</v>
      </c>
      <c r="N176" t="s">
        <v>88</v>
      </c>
      <c r="O176" t="s">
        <v>243</v>
      </c>
      <c r="P176">
        <v>0</v>
      </c>
      <c r="Q176">
        <v>50</v>
      </c>
      <c r="R176" t="s">
        <v>36</v>
      </c>
      <c r="S176">
        <v>12</v>
      </c>
      <c r="T176">
        <v>12</v>
      </c>
      <c r="U176" t="s">
        <v>112</v>
      </c>
      <c r="V176" t="s">
        <v>37</v>
      </c>
      <c r="W176">
        <v>450</v>
      </c>
      <c r="X176">
        <v>532</v>
      </c>
      <c r="Y176">
        <v>8.3000000000000007</v>
      </c>
      <c r="Z176">
        <v>500</v>
      </c>
      <c r="AA176">
        <v>2000</v>
      </c>
      <c r="AB176">
        <v>50</v>
      </c>
      <c r="AC176" t="s">
        <v>40</v>
      </c>
    </row>
    <row r="177" spans="1:29" x14ac:dyDescent="0.25">
      <c r="A177" t="str">
        <f>"Raman_"&amp;E177&amp;"_"&amp;B177&amp;"_"&amp;AC177&amp;"_"&amp;TEXT(F177, "000")&amp;"_"&amp;TEXT(G177, "000")&amp;"_"&amp;H177&amp;".csv"</f>
        <v>Raman_EG_Pavlovagyrans_raw_002_004_B3.csv</v>
      </c>
      <c r="B177" t="s">
        <v>255</v>
      </c>
      <c r="C177" t="s">
        <v>30</v>
      </c>
      <c r="D177" t="s">
        <v>30</v>
      </c>
      <c r="E177" t="s">
        <v>31</v>
      </c>
      <c r="F177">
        <v>2</v>
      </c>
      <c r="G177">
        <v>4</v>
      </c>
      <c r="H177" t="s">
        <v>41</v>
      </c>
      <c r="I177" t="s">
        <v>256</v>
      </c>
      <c r="J177" t="s">
        <v>34</v>
      </c>
      <c r="L177" t="s">
        <v>30</v>
      </c>
      <c r="M177">
        <v>22</v>
      </c>
      <c r="N177" t="s">
        <v>50</v>
      </c>
      <c r="O177" t="s">
        <v>243</v>
      </c>
      <c r="P177">
        <v>0</v>
      </c>
      <c r="Q177">
        <v>50</v>
      </c>
      <c r="R177" t="s">
        <v>36</v>
      </c>
      <c r="S177">
        <v>12</v>
      </c>
      <c r="T177">
        <v>12</v>
      </c>
      <c r="U177" t="s">
        <v>112</v>
      </c>
      <c r="V177" t="s">
        <v>37</v>
      </c>
      <c r="W177">
        <v>450</v>
      </c>
      <c r="X177">
        <v>532</v>
      </c>
      <c r="Y177">
        <v>8.3000000000000007</v>
      </c>
      <c r="Z177">
        <v>500</v>
      </c>
      <c r="AA177">
        <v>2000</v>
      </c>
      <c r="AB177">
        <v>50</v>
      </c>
      <c r="AC177" t="s">
        <v>40</v>
      </c>
    </row>
    <row r="178" spans="1:29" x14ac:dyDescent="0.25">
      <c r="A178" t="str">
        <f>"Raman_"&amp;E178&amp;"_"&amp;B178&amp;"_"&amp;AC178&amp;"_"&amp;TEXT(F178, "000")&amp;"_"&amp;TEXT(G178, "000")&amp;"_"&amp;H178&amp;".csv"</f>
        <v>Raman_EG_Pavlovagyrans_raw_002_004_B4.csv</v>
      </c>
      <c r="B178" t="s">
        <v>255</v>
      </c>
      <c r="C178" t="s">
        <v>30</v>
      </c>
      <c r="D178" t="s">
        <v>30</v>
      </c>
      <c r="E178" t="s">
        <v>31</v>
      </c>
      <c r="F178">
        <v>2</v>
      </c>
      <c r="G178">
        <v>4</v>
      </c>
      <c r="H178" t="s">
        <v>43</v>
      </c>
      <c r="I178" t="s">
        <v>256</v>
      </c>
      <c r="J178" t="s">
        <v>34</v>
      </c>
      <c r="L178" t="s">
        <v>30</v>
      </c>
      <c r="M178">
        <v>22</v>
      </c>
      <c r="N178" t="s">
        <v>90</v>
      </c>
      <c r="O178" t="s">
        <v>243</v>
      </c>
      <c r="P178">
        <v>0</v>
      </c>
      <c r="Q178">
        <v>50</v>
      </c>
      <c r="R178" t="s">
        <v>36</v>
      </c>
      <c r="S178">
        <v>12</v>
      </c>
      <c r="T178">
        <v>12</v>
      </c>
      <c r="U178" t="s">
        <v>112</v>
      </c>
      <c r="V178" t="s">
        <v>37</v>
      </c>
      <c r="W178">
        <v>450</v>
      </c>
      <c r="X178">
        <v>532</v>
      </c>
      <c r="Y178">
        <v>8.3000000000000007</v>
      </c>
      <c r="Z178">
        <v>500</v>
      </c>
      <c r="AA178">
        <v>2000</v>
      </c>
      <c r="AB178">
        <v>50</v>
      </c>
      <c r="AC178" t="s">
        <v>40</v>
      </c>
    </row>
    <row r="179" spans="1:29" x14ac:dyDescent="0.25">
      <c r="A179" t="str">
        <f>"Raman_"&amp;E179&amp;"_"&amp;B179&amp;"_"&amp;AC179&amp;"_"&amp;TEXT(F179, "000")&amp;"_"&amp;TEXT(G179, "000")&amp;"_"&amp;H179&amp;".csv"</f>
        <v>Raman_EG_Pavlovagyrans_raw_002_004_B5.csv</v>
      </c>
      <c r="B179" t="s">
        <v>255</v>
      </c>
      <c r="C179" t="s">
        <v>30</v>
      </c>
      <c r="D179" t="s">
        <v>30</v>
      </c>
      <c r="E179" t="s">
        <v>31</v>
      </c>
      <c r="F179">
        <v>2</v>
      </c>
      <c r="G179">
        <v>4</v>
      </c>
      <c r="H179" t="s">
        <v>45</v>
      </c>
      <c r="I179" t="s">
        <v>256</v>
      </c>
      <c r="J179" t="s">
        <v>34</v>
      </c>
      <c r="L179" t="s">
        <v>30</v>
      </c>
      <c r="M179">
        <v>22</v>
      </c>
      <c r="N179" t="s">
        <v>52</v>
      </c>
      <c r="O179" t="s">
        <v>243</v>
      </c>
      <c r="P179">
        <v>0</v>
      </c>
      <c r="Q179">
        <v>50</v>
      </c>
      <c r="R179" t="s">
        <v>36</v>
      </c>
      <c r="S179">
        <v>12</v>
      </c>
      <c r="T179">
        <v>12</v>
      </c>
      <c r="U179" t="s">
        <v>112</v>
      </c>
      <c r="V179" t="s">
        <v>37</v>
      </c>
      <c r="W179">
        <v>450</v>
      </c>
      <c r="X179">
        <v>532</v>
      </c>
      <c r="Y179">
        <v>8.3000000000000007</v>
      </c>
      <c r="Z179">
        <v>500</v>
      </c>
      <c r="AA179">
        <v>2000</v>
      </c>
      <c r="AB179">
        <v>50</v>
      </c>
      <c r="AC179" t="s">
        <v>40</v>
      </c>
    </row>
    <row r="180" spans="1:29" x14ac:dyDescent="0.25">
      <c r="A180" t="str">
        <f>"Raman_"&amp;E180&amp;"_"&amp;B180&amp;"_"&amp;AC180&amp;"_"&amp;TEXT(F180, "000")&amp;"_"&amp;TEXT(G180, "000")&amp;"_"&amp;H180&amp;".csv"</f>
        <v>Raman_EG_Pavlovagyrans_raw_002_004_B6.csv</v>
      </c>
      <c r="B180" t="s">
        <v>255</v>
      </c>
      <c r="C180" t="s">
        <v>30</v>
      </c>
      <c r="D180" t="s">
        <v>30</v>
      </c>
      <c r="E180" t="s">
        <v>31</v>
      </c>
      <c r="F180">
        <v>2</v>
      </c>
      <c r="G180">
        <v>4</v>
      </c>
      <c r="H180" t="s">
        <v>47</v>
      </c>
      <c r="I180" t="s">
        <v>256</v>
      </c>
      <c r="J180" t="s">
        <v>34</v>
      </c>
      <c r="L180" t="s">
        <v>30</v>
      </c>
      <c r="M180">
        <v>22</v>
      </c>
      <c r="N180" t="s">
        <v>92</v>
      </c>
      <c r="O180" t="s">
        <v>243</v>
      </c>
      <c r="P180">
        <v>0</v>
      </c>
      <c r="Q180">
        <v>50</v>
      </c>
      <c r="R180" t="s">
        <v>36</v>
      </c>
      <c r="S180">
        <v>12</v>
      </c>
      <c r="T180">
        <v>12</v>
      </c>
      <c r="U180" t="s">
        <v>112</v>
      </c>
      <c r="V180" t="s">
        <v>37</v>
      </c>
      <c r="W180">
        <v>450</v>
      </c>
      <c r="X180">
        <v>532</v>
      </c>
      <c r="Y180">
        <v>8.3000000000000007</v>
      </c>
      <c r="Z180">
        <v>500</v>
      </c>
      <c r="AA180">
        <v>2000</v>
      </c>
      <c r="AB180">
        <v>50</v>
      </c>
      <c r="AC180" t="s">
        <v>40</v>
      </c>
    </row>
    <row r="181" spans="1:29" x14ac:dyDescent="0.25">
      <c r="A181" t="str">
        <f>"Raman_"&amp;E181&amp;"_"&amp;B181&amp;"_"&amp;AC181&amp;"_"&amp;TEXT(F181, "000")&amp;"_"&amp;TEXT(G181, "000")&amp;"_"&amp;H181&amp;".csv"</f>
        <v>Raman_EG_Pavlovagyrans_raw_002_004_B7.csv</v>
      </c>
      <c r="B181" t="s">
        <v>255</v>
      </c>
      <c r="C181" t="s">
        <v>30</v>
      </c>
      <c r="D181" t="s">
        <v>30</v>
      </c>
      <c r="E181" t="s">
        <v>31</v>
      </c>
      <c r="F181">
        <v>2</v>
      </c>
      <c r="G181">
        <v>4</v>
      </c>
      <c r="H181" t="s">
        <v>49</v>
      </c>
      <c r="I181" t="s">
        <v>256</v>
      </c>
      <c r="J181" t="s">
        <v>34</v>
      </c>
      <c r="L181" t="s">
        <v>30</v>
      </c>
      <c r="M181">
        <v>22</v>
      </c>
      <c r="N181" t="s">
        <v>54</v>
      </c>
      <c r="O181" t="s">
        <v>243</v>
      </c>
      <c r="P181">
        <v>0</v>
      </c>
      <c r="Q181">
        <v>50</v>
      </c>
      <c r="R181" t="s">
        <v>36</v>
      </c>
      <c r="S181">
        <v>12</v>
      </c>
      <c r="T181">
        <v>12</v>
      </c>
      <c r="U181" t="s">
        <v>112</v>
      </c>
      <c r="V181" t="s">
        <v>37</v>
      </c>
      <c r="W181">
        <v>450</v>
      </c>
      <c r="X181">
        <v>532</v>
      </c>
      <c r="Y181">
        <v>8.3000000000000007</v>
      </c>
      <c r="Z181">
        <v>500</v>
      </c>
      <c r="AA181">
        <v>2000</v>
      </c>
      <c r="AB181">
        <v>50</v>
      </c>
      <c r="AC181" t="s">
        <v>40</v>
      </c>
    </row>
    <row r="182" spans="1:29" x14ac:dyDescent="0.25">
      <c r="A182" t="str">
        <f>"Raman_"&amp;E182&amp;"_"&amp;B182&amp;"_"&amp;AC182&amp;"_"&amp;TEXT(F182, "000")&amp;"_"&amp;TEXT(G182, "000")&amp;"_"&amp;H182&amp;".csv"</f>
        <v>Raman_EG_Pavlovagyrans_raw_002_004_B8.csv</v>
      </c>
      <c r="B182" t="s">
        <v>255</v>
      </c>
      <c r="C182" t="s">
        <v>30</v>
      </c>
      <c r="D182" t="s">
        <v>30</v>
      </c>
      <c r="E182" t="s">
        <v>31</v>
      </c>
      <c r="F182">
        <v>2</v>
      </c>
      <c r="G182">
        <v>4</v>
      </c>
      <c r="H182" t="s">
        <v>51</v>
      </c>
      <c r="I182" t="s">
        <v>256</v>
      </c>
      <c r="J182" t="s">
        <v>34</v>
      </c>
      <c r="L182" t="s">
        <v>30</v>
      </c>
      <c r="M182">
        <v>22</v>
      </c>
      <c r="N182" t="s">
        <v>94</v>
      </c>
      <c r="O182" t="s">
        <v>243</v>
      </c>
      <c r="P182">
        <v>0</v>
      </c>
      <c r="Q182">
        <v>50</v>
      </c>
      <c r="R182" t="s">
        <v>36</v>
      </c>
      <c r="S182">
        <v>12</v>
      </c>
      <c r="T182">
        <v>12</v>
      </c>
      <c r="U182" t="s">
        <v>112</v>
      </c>
      <c r="V182" t="s">
        <v>37</v>
      </c>
      <c r="W182">
        <v>450</v>
      </c>
      <c r="X182">
        <v>532</v>
      </c>
      <c r="Y182">
        <v>8.3000000000000007</v>
      </c>
      <c r="Z182">
        <v>500</v>
      </c>
      <c r="AA182">
        <v>2000</v>
      </c>
      <c r="AB182">
        <v>50</v>
      </c>
      <c r="AC182" t="s">
        <v>40</v>
      </c>
    </row>
    <row r="183" spans="1:29" x14ac:dyDescent="0.25">
      <c r="A183" t="str">
        <f>"Raman_"&amp;E183&amp;"_"&amp;B183&amp;"_"&amp;AC183&amp;"_"&amp;TEXT(F183, "000")&amp;"_"&amp;TEXT(G183, "000")&amp;"_"&amp;H183&amp;".csv"</f>
        <v>Raman_EG_Pavlovagyrans_raw_002_004_B9.csv</v>
      </c>
      <c r="B183" t="s">
        <v>255</v>
      </c>
      <c r="C183" t="s">
        <v>30</v>
      </c>
      <c r="D183" t="s">
        <v>30</v>
      </c>
      <c r="E183" t="s">
        <v>31</v>
      </c>
      <c r="F183">
        <v>2</v>
      </c>
      <c r="G183">
        <v>4</v>
      </c>
      <c r="H183" t="s">
        <v>53</v>
      </c>
      <c r="I183" t="s">
        <v>256</v>
      </c>
      <c r="J183" t="s">
        <v>34</v>
      </c>
      <c r="L183" t="s">
        <v>30</v>
      </c>
      <c r="M183">
        <v>22</v>
      </c>
      <c r="N183" t="s">
        <v>56</v>
      </c>
      <c r="O183" t="s">
        <v>243</v>
      </c>
      <c r="P183">
        <v>0</v>
      </c>
      <c r="Q183">
        <v>50</v>
      </c>
      <c r="R183" t="s">
        <v>36</v>
      </c>
      <c r="S183">
        <v>12</v>
      </c>
      <c r="T183">
        <v>12</v>
      </c>
      <c r="U183" t="s">
        <v>112</v>
      </c>
      <c r="V183" t="s">
        <v>37</v>
      </c>
      <c r="W183">
        <v>450</v>
      </c>
      <c r="X183">
        <v>532</v>
      </c>
      <c r="Y183">
        <v>8.3000000000000007</v>
      </c>
      <c r="Z183">
        <v>500</v>
      </c>
      <c r="AA183">
        <v>2000</v>
      </c>
      <c r="AB183">
        <v>50</v>
      </c>
      <c r="AC183" t="s">
        <v>40</v>
      </c>
    </row>
    <row r="184" spans="1:29" x14ac:dyDescent="0.25">
      <c r="A184" t="str">
        <f>"Raman_"&amp;E184&amp;"_"&amp;B184&amp;"_"&amp;AC184&amp;"_"&amp;TEXT(F184, "000")&amp;"_"&amp;TEXT(G184, "000")&amp;"_"&amp;H184&amp;".csv"</f>
        <v>Raman_EG_Pavlovagyrans_raw_002_004_B10.csv</v>
      </c>
      <c r="B184" t="s">
        <v>255</v>
      </c>
      <c r="C184" t="s">
        <v>30</v>
      </c>
      <c r="D184" t="s">
        <v>30</v>
      </c>
      <c r="E184" t="s">
        <v>31</v>
      </c>
      <c r="F184">
        <v>2</v>
      </c>
      <c r="G184">
        <v>4</v>
      </c>
      <c r="H184" t="s">
        <v>55</v>
      </c>
      <c r="I184" t="s">
        <v>256</v>
      </c>
      <c r="J184" t="s">
        <v>34</v>
      </c>
      <c r="L184" t="s">
        <v>30</v>
      </c>
      <c r="M184">
        <v>22</v>
      </c>
      <c r="N184" t="s">
        <v>96</v>
      </c>
      <c r="O184" t="s">
        <v>243</v>
      </c>
      <c r="P184">
        <v>0</v>
      </c>
      <c r="Q184">
        <v>50</v>
      </c>
      <c r="R184" t="s">
        <v>36</v>
      </c>
      <c r="S184">
        <v>12</v>
      </c>
      <c r="T184">
        <v>12</v>
      </c>
      <c r="U184" t="s">
        <v>112</v>
      </c>
      <c r="V184" t="s">
        <v>37</v>
      </c>
      <c r="W184">
        <v>450</v>
      </c>
      <c r="X184">
        <v>532</v>
      </c>
      <c r="Y184">
        <v>8.3000000000000007</v>
      </c>
      <c r="Z184">
        <v>500</v>
      </c>
      <c r="AA184">
        <v>2000</v>
      </c>
      <c r="AB184">
        <v>50</v>
      </c>
      <c r="AC184" t="s">
        <v>40</v>
      </c>
    </row>
    <row r="185" spans="1:29" x14ac:dyDescent="0.25">
      <c r="A185" t="str">
        <f>"Raman_"&amp;E185&amp;"_"&amp;B185&amp;"_"&amp;AC185&amp;"_"&amp;TEXT(F185, "000")&amp;"_"&amp;TEXT(G185, "000")&amp;"_"&amp;H185&amp;".csv"</f>
        <v>Raman_EG_Pavlovagyrans_raw_002_004_B11.csv</v>
      </c>
      <c r="B185" t="s">
        <v>255</v>
      </c>
      <c r="C185" t="s">
        <v>30</v>
      </c>
      <c r="D185" t="s">
        <v>30</v>
      </c>
      <c r="E185" t="s">
        <v>31</v>
      </c>
      <c r="F185">
        <v>2</v>
      </c>
      <c r="G185">
        <v>4</v>
      </c>
      <c r="H185" t="s">
        <v>57</v>
      </c>
      <c r="I185" t="s">
        <v>256</v>
      </c>
      <c r="J185" t="s">
        <v>34</v>
      </c>
      <c r="L185" t="s">
        <v>30</v>
      </c>
      <c r="M185">
        <v>22</v>
      </c>
      <c r="N185" t="s">
        <v>58</v>
      </c>
      <c r="O185" t="s">
        <v>243</v>
      </c>
      <c r="P185">
        <v>0</v>
      </c>
      <c r="Q185">
        <v>50</v>
      </c>
      <c r="R185" t="s">
        <v>36</v>
      </c>
      <c r="S185">
        <v>12</v>
      </c>
      <c r="T185">
        <v>12</v>
      </c>
      <c r="U185" t="s">
        <v>112</v>
      </c>
      <c r="V185" t="s">
        <v>37</v>
      </c>
      <c r="W185">
        <v>450</v>
      </c>
      <c r="X185">
        <v>532</v>
      </c>
      <c r="Y185">
        <v>8.3000000000000007</v>
      </c>
      <c r="Z185">
        <v>500</v>
      </c>
      <c r="AA185">
        <v>2000</v>
      </c>
      <c r="AB185">
        <v>50</v>
      </c>
      <c r="AC185" t="s">
        <v>40</v>
      </c>
    </row>
    <row r="186" spans="1:29" x14ac:dyDescent="0.25">
      <c r="A186" t="str">
        <f>"Raman_"&amp;E186&amp;"_"&amp;B186&amp;"_"&amp;AC186&amp;"_"&amp;TEXT(F186, "000")&amp;"_"&amp;TEXT(G186, "000")&amp;"_"&amp;H186&amp;".csv"</f>
        <v>Raman_EG_Pavlovagyrans_raw_002_004_C1.csv</v>
      </c>
      <c r="B186" t="s">
        <v>255</v>
      </c>
      <c r="C186" t="s">
        <v>30</v>
      </c>
      <c r="D186" t="s">
        <v>30</v>
      </c>
      <c r="E186" t="s">
        <v>31</v>
      </c>
      <c r="F186">
        <v>2</v>
      </c>
      <c r="G186">
        <v>4</v>
      </c>
      <c r="H186" t="s">
        <v>137</v>
      </c>
      <c r="I186" t="s">
        <v>256</v>
      </c>
      <c r="J186" t="s">
        <v>34</v>
      </c>
      <c r="L186" t="s">
        <v>30</v>
      </c>
      <c r="M186">
        <v>22</v>
      </c>
      <c r="N186" t="s">
        <v>48</v>
      </c>
      <c r="O186" t="s">
        <v>243</v>
      </c>
      <c r="P186">
        <v>0</v>
      </c>
      <c r="Q186">
        <v>50</v>
      </c>
      <c r="R186" t="s">
        <v>36</v>
      </c>
      <c r="S186">
        <v>12</v>
      </c>
      <c r="T186">
        <v>12</v>
      </c>
      <c r="U186" t="s">
        <v>112</v>
      </c>
      <c r="V186" t="s">
        <v>37</v>
      </c>
      <c r="W186">
        <v>450</v>
      </c>
      <c r="X186">
        <v>532</v>
      </c>
      <c r="Y186">
        <v>8.3000000000000007</v>
      </c>
      <c r="Z186">
        <v>500</v>
      </c>
      <c r="AA186">
        <v>2000</v>
      </c>
      <c r="AB186">
        <v>50</v>
      </c>
      <c r="AC186" t="s">
        <v>40</v>
      </c>
    </row>
    <row r="187" spans="1:29" x14ac:dyDescent="0.25">
      <c r="A187" t="str">
        <f>"Raman_"&amp;E187&amp;"_"&amp;B187&amp;"_"&amp;AC187&amp;"_"&amp;TEXT(F187, "000")&amp;"_"&amp;TEXT(G187, "000")&amp;"_"&amp;H187&amp;".csv"</f>
        <v>Raman_EG_Pavlovagyrans_raw_002_004_C2.csv</v>
      </c>
      <c r="B187" t="s">
        <v>255</v>
      </c>
      <c r="C187" t="s">
        <v>30</v>
      </c>
      <c r="D187" t="s">
        <v>30</v>
      </c>
      <c r="E187" t="s">
        <v>31</v>
      </c>
      <c r="F187">
        <v>2</v>
      </c>
      <c r="G187">
        <v>4</v>
      </c>
      <c r="H187" t="s">
        <v>59</v>
      </c>
      <c r="I187" t="s">
        <v>256</v>
      </c>
      <c r="J187" t="s">
        <v>34</v>
      </c>
      <c r="L187" t="s">
        <v>30</v>
      </c>
      <c r="M187">
        <v>22</v>
      </c>
      <c r="N187" t="s">
        <v>88</v>
      </c>
      <c r="O187" t="s">
        <v>243</v>
      </c>
      <c r="P187">
        <v>0</v>
      </c>
      <c r="Q187">
        <v>50</v>
      </c>
      <c r="R187" t="s">
        <v>36</v>
      </c>
      <c r="S187">
        <v>12</v>
      </c>
      <c r="T187">
        <v>12</v>
      </c>
      <c r="U187" t="s">
        <v>112</v>
      </c>
      <c r="V187" t="s">
        <v>37</v>
      </c>
      <c r="W187">
        <v>450</v>
      </c>
      <c r="X187">
        <v>532</v>
      </c>
      <c r="Y187">
        <v>8.3000000000000007</v>
      </c>
      <c r="Z187">
        <v>500</v>
      </c>
      <c r="AA187">
        <v>2000</v>
      </c>
      <c r="AB187">
        <v>50</v>
      </c>
      <c r="AC187" t="s">
        <v>40</v>
      </c>
    </row>
    <row r="188" spans="1:29" x14ac:dyDescent="0.25">
      <c r="A188" t="str">
        <f>"Raman_"&amp;E188&amp;"_"&amp;B188&amp;"_"&amp;AC188&amp;"_"&amp;TEXT(F188, "000")&amp;"_"&amp;TEXT(G188, "000")&amp;"_"&amp;H188&amp;".csv"</f>
        <v>Raman_EG_Pavlovagyrans_raw_002_004_C3.csv</v>
      </c>
      <c r="B188" t="s">
        <v>255</v>
      </c>
      <c r="C188" t="s">
        <v>30</v>
      </c>
      <c r="D188" t="s">
        <v>30</v>
      </c>
      <c r="E188" t="s">
        <v>31</v>
      </c>
      <c r="F188">
        <v>2</v>
      </c>
      <c r="G188">
        <v>4</v>
      </c>
      <c r="H188" t="s">
        <v>60</v>
      </c>
      <c r="I188" t="s">
        <v>256</v>
      </c>
      <c r="J188" t="s">
        <v>34</v>
      </c>
      <c r="L188" t="s">
        <v>30</v>
      </c>
      <c r="M188">
        <v>22</v>
      </c>
      <c r="N188" t="s">
        <v>50</v>
      </c>
      <c r="O188" t="s">
        <v>243</v>
      </c>
      <c r="P188">
        <v>0</v>
      </c>
      <c r="Q188">
        <v>50</v>
      </c>
      <c r="R188" t="s">
        <v>36</v>
      </c>
      <c r="S188">
        <v>12</v>
      </c>
      <c r="T188">
        <v>12</v>
      </c>
      <c r="U188" t="s">
        <v>112</v>
      </c>
      <c r="V188" t="s">
        <v>37</v>
      </c>
      <c r="W188">
        <v>450</v>
      </c>
      <c r="X188">
        <v>532</v>
      </c>
      <c r="Y188">
        <v>8.3000000000000007</v>
      </c>
      <c r="Z188">
        <v>500</v>
      </c>
      <c r="AA188">
        <v>2000</v>
      </c>
      <c r="AB188">
        <v>50</v>
      </c>
      <c r="AC188" t="s">
        <v>40</v>
      </c>
    </row>
    <row r="189" spans="1:29" x14ac:dyDescent="0.25">
      <c r="A189" t="str">
        <f>"Raman_"&amp;E189&amp;"_"&amp;B189&amp;"_"&amp;AC189&amp;"_"&amp;TEXT(F189, "000")&amp;"_"&amp;TEXT(G189, "000")&amp;"_"&amp;H189&amp;".csv"</f>
        <v>Raman_EG_Pavlovagyrans_raw_002_004_C4.csv</v>
      </c>
      <c r="B189" t="s">
        <v>255</v>
      </c>
      <c r="C189" t="s">
        <v>30</v>
      </c>
      <c r="D189" t="s">
        <v>30</v>
      </c>
      <c r="E189" t="s">
        <v>31</v>
      </c>
      <c r="F189">
        <v>2</v>
      </c>
      <c r="G189">
        <v>4</v>
      </c>
      <c r="H189" t="s">
        <v>61</v>
      </c>
      <c r="I189" t="s">
        <v>256</v>
      </c>
      <c r="J189" t="s">
        <v>34</v>
      </c>
      <c r="L189" t="s">
        <v>30</v>
      </c>
      <c r="M189">
        <v>22</v>
      </c>
      <c r="N189" t="s">
        <v>90</v>
      </c>
      <c r="O189" t="s">
        <v>243</v>
      </c>
      <c r="P189">
        <v>0</v>
      </c>
      <c r="Q189">
        <v>50</v>
      </c>
      <c r="R189" t="s">
        <v>36</v>
      </c>
      <c r="S189">
        <v>12</v>
      </c>
      <c r="T189">
        <v>12</v>
      </c>
      <c r="U189" t="s">
        <v>112</v>
      </c>
      <c r="V189" t="s">
        <v>37</v>
      </c>
      <c r="W189">
        <v>450</v>
      </c>
      <c r="X189">
        <v>532</v>
      </c>
      <c r="Y189">
        <v>8.3000000000000007</v>
      </c>
      <c r="Z189">
        <v>500</v>
      </c>
      <c r="AA189">
        <v>2000</v>
      </c>
      <c r="AB189">
        <v>50</v>
      </c>
      <c r="AC189" t="s">
        <v>40</v>
      </c>
    </row>
    <row r="190" spans="1:29" x14ac:dyDescent="0.25">
      <c r="A190" t="str">
        <f>"Raman_"&amp;E190&amp;"_"&amp;B190&amp;"_"&amp;AC190&amp;"_"&amp;TEXT(F190, "000")&amp;"_"&amp;TEXT(G190, "000")&amp;"_"&amp;H190&amp;".csv"</f>
        <v>Raman_EG_Pavlovagyrans_raw_002_004_C5.csv</v>
      </c>
      <c r="B190" t="s">
        <v>255</v>
      </c>
      <c r="C190" t="s">
        <v>30</v>
      </c>
      <c r="D190" t="s">
        <v>30</v>
      </c>
      <c r="E190" t="s">
        <v>31</v>
      </c>
      <c r="F190">
        <v>2</v>
      </c>
      <c r="G190">
        <v>4</v>
      </c>
      <c r="H190" t="s">
        <v>62</v>
      </c>
      <c r="I190" t="s">
        <v>256</v>
      </c>
      <c r="J190" t="s">
        <v>34</v>
      </c>
      <c r="L190" t="s">
        <v>30</v>
      </c>
      <c r="M190">
        <v>22</v>
      </c>
      <c r="N190" t="s">
        <v>52</v>
      </c>
      <c r="O190" t="s">
        <v>243</v>
      </c>
      <c r="P190">
        <v>0</v>
      </c>
      <c r="Q190">
        <v>50</v>
      </c>
      <c r="R190" t="s">
        <v>36</v>
      </c>
      <c r="S190">
        <v>12</v>
      </c>
      <c r="T190">
        <v>12</v>
      </c>
      <c r="U190" t="s">
        <v>112</v>
      </c>
      <c r="V190" t="s">
        <v>37</v>
      </c>
      <c r="W190">
        <v>450</v>
      </c>
      <c r="X190">
        <v>532</v>
      </c>
      <c r="Y190">
        <v>8.3000000000000007</v>
      </c>
      <c r="Z190">
        <v>500</v>
      </c>
      <c r="AA190">
        <v>2000</v>
      </c>
      <c r="AB190">
        <v>50</v>
      </c>
      <c r="AC190" t="s">
        <v>40</v>
      </c>
    </row>
    <row r="191" spans="1:29" x14ac:dyDescent="0.25">
      <c r="A191" t="str">
        <f>"Raman_"&amp;E191&amp;"_"&amp;B191&amp;"_"&amp;AC191&amp;"_"&amp;TEXT(F191, "000")&amp;"_"&amp;TEXT(G191, "000")&amp;"_"&amp;H191&amp;".csv"</f>
        <v>Raman_EG_Pavlovagyrans_raw_002_004_C6.csv</v>
      </c>
      <c r="B191" t="s">
        <v>255</v>
      </c>
      <c r="C191" t="s">
        <v>30</v>
      </c>
      <c r="D191" t="s">
        <v>30</v>
      </c>
      <c r="E191" t="s">
        <v>31</v>
      </c>
      <c r="F191">
        <v>2</v>
      </c>
      <c r="G191">
        <v>4</v>
      </c>
      <c r="H191" t="s">
        <v>63</v>
      </c>
      <c r="I191" t="s">
        <v>256</v>
      </c>
      <c r="J191" t="s">
        <v>34</v>
      </c>
      <c r="L191" t="s">
        <v>30</v>
      </c>
      <c r="M191">
        <v>22</v>
      </c>
      <c r="N191" t="s">
        <v>92</v>
      </c>
      <c r="O191" t="s">
        <v>243</v>
      </c>
      <c r="P191">
        <v>0</v>
      </c>
      <c r="Q191">
        <v>50</v>
      </c>
      <c r="R191" t="s">
        <v>36</v>
      </c>
      <c r="S191">
        <v>12</v>
      </c>
      <c r="T191">
        <v>12</v>
      </c>
      <c r="U191" t="s">
        <v>112</v>
      </c>
      <c r="V191" t="s">
        <v>37</v>
      </c>
      <c r="W191">
        <v>450</v>
      </c>
      <c r="X191">
        <v>532</v>
      </c>
      <c r="Y191">
        <v>8.3000000000000007</v>
      </c>
      <c r="Z191">
        <v>500</v>
      </c>
      <c r="AA191">
        <v>2000</v>
      </c>
      <c r="AB191">
        <v>50</v>
      </c>
      <c r="AC191" t="s">
        <v>40</v>
      </c>
    </row>
    <row r="192" spans="1:29" x14ac:dyDescent="0.25">
      <c r="A192" t="str">
        <f>"Raman_"&amp;E192&amp;"_"&amp;B192&amp;"_"&amp;AC192&amp;"_"&amp;TEXT(F192, "000")&amp;"_"&amp;TEXT(G192, "000")&amp;"_"&amp;H192&amp;".csv"</f>
        <v>Raman_EG_Pavlovagyrans_raw_002_004_C7.csv</v>
      </c>
      <c r="B192" t="s">
        <v>255</v>
      </c>
      <c r="C192" t="s">
        <v>30</v>
      </c>
      <c r="D192" t="s">
        <v>30</v>
      </c>
      <c r="E192" t="s">
        <v>31</v>
      </c>
      <c r="F192">
        <v>2</v>
      </c>
      <c r="G192">
        <v>4</v>
      </c>
      <c r="H192" t="s">
        <v>64</v>
      </c>
      <c r="I192" t="s">
        <v>256</v>
      </c>
      <c r="J192" t="s">
        <v>34</v>
      </c>
      <c r="L192" t="s">
        <v>30</v>
      </c>
      <c r="M192">
        <v>22</v>
      </c>
      <c r="N192" t="s">
        <v>54</v>
      </c>
      <c r="O192" t="s">
        <v>243</v>
      </c>
      <c r="P192">
        <v>0</v>
      </c>
      <c r="Q192">
        <v>50</v>
      </c>
      <c r="R192" t="s">
        <v>36</v>
      </c>
      <c r="S192">
        <v>12</v>
      </c>
      <c r="T192">
        <v>12</v>
      </c>
      <c r="U192" t="s">
        <v>112</v>
      </c>
      <c r="V192" t="s">
        <v>37</v>
      </c>
      <c r="W192">
        <v>450</v>
      </c>
      <c r="X192">
        <v>532</v>
      </c>
      <c r="Y192">
        <v>8.3000000000000007</v>
      </c>
      <c r="Z192">
        <v>500</v>
      </c>
      <c r="AA192">
        <v>2000</v>
      </c>
      <c r="AB192">
        <v>50</v>
      </c>
      <c r="AC192" t="s">
        <v>40</v>
      </c>
    </row>
    <row r="193" spans="1:29" x14ac:dyDescent="0.25">
      <c r="A193" t="str">
        <f>"Raman_"&amp;E193&amp;"_"&amp;B193&amp;"_"&amp;AC193&amp;"_"&amp;TEXT(F193, "000")&amp;"_"&amp;TEXT(G193, "000")&amp;"_"&amp;H193&amp;".csv"</f>
        <v>Raman_EG_Pavlovagyrans_raw_002_004_C8.csv</v>
      </c>
      <c r="B193" t="s">
        <v>255</v>
      </c>
      <c r="C193" t="s">
        <v>30</v>
      </c>
      <c r="D193" t="s">
        <v>30</v>
      </c>
      <c r="E193" t="s">
        <v>31</v>
      </c>
      <c r="F193">
        <v>2</v>
      </c>
      <c r="G193">
        <v>4</v>
      </c>
      <c r="H193" t="s">
        <v>65</v>
      </c>
      <c r="I193" t="s">
        <v>256</v>
      </c>
      <c r="J193" t="s">
        <v>34</v>
      </c>
      <c r="L193" t="s">
        <v>30</v>
      </c>
      <c r="M193">
        <v>22</v>
      </c>
      <c r="N193" t="s">
        <v>94</v>
      </c>
      <c r="O193" t="s">
        <v>243</v>
      </c>
      <c r="P193">
        <v>0</v>
      </c>
      <c r="Q193">
        <v>50</v>
      </c>
      <c r="R193" t="s">
        <v>36</v>
      </c>
      <c r="S193">
        <v>12</v>
      </c>
      <c r="T193">
        <v>12</v>
      </c>
      <c r="U193" t="s">
        <v>112</v>
      </c>
      <c r="V193" t="s">
        <v>37</v>
      </c>
      <c r="W193">
        <v>450</v>
      </c>
      <c r="X193">
        <v>532</v>
      </c>
      <c r="Y193">
        <v>8.3000000000000007</v>
      </c>
      <c r="Z193">
        <v>500</v>
      </c>
      <c r="AA193">
        <v>2000</v>
      </c>
      <c r="AB193">
        <v>50</v>
      </c>
      <c r="AC193" t="s">
        <v>40</v>
      </c>
    </row>
    <row r="194" spans="1:29" x14ac:dyDescent="0.25">
      <c r="A194" t="str">
        <f>"Raman_"&amp;E194&amp;"_"&amp;B194&amp;"_"&amp;AC194&amp;"_"&amp;TEXT(F194, "000")&amp;"_"&amp;TEXT(G194, "000")&amp;"_"&amp;H194&amp;".csv"</f>
        <v>Raman_EG_Pavlovagyrans_raw_002_004_C9.csv</v>
      </c>
      <c r="B194" t="s">
        <v>255</v>
      </c>
      <c r="C194" t="s">
        <v>30</v>
      </c>
      <c r="D194" t="s">
        <v>30</v>
      </c>
      <c r="E194" t="s">
        <v>31</v>
      </c>
      <c r="F194">
        <v>2</v>
      </c>
      <c r="G194">
        <v>4</v>
      </c>
      <c r="H194" t="s">
        <v>66</v>
      </c>
      <c r="I194" t="s">
        <v>256</v>
      </c>
      <c r="J194" t="s">
        <v>34</v>
      </c>
      <c r="L194" t="s">
        <v>30</v>
      </c>
      <c r="M194">
        <v>22</v>
      </c>
      <c r="N194" t="s">
        <v>56</v>
      </c>
      <c r="O194" t="s">
        <v>243</v>
      </c>
      <c r="P194">
        <v>0</v>
      </c>
      <c r="Q194">
        <v>50</v>
      </c>
      <c r="R194" t="s">
        <v>36</v>
      </c>
      <c r="S194">
        <v>12</v>
      </c>
      <c r="T194">
        <v>12</v>
      </c>
      <c r="U194" t="s">
        <v>112</v>
      </c>
      <c r="V194" t="s">
        <v>37</v>
      </c>
      <c r="W194">
        <v>450</v>
      </c>
      <c r="X194">
        <v>532</v>
      </c>
      <c r="Y194">
        <v>8.3000000000000007</v>
      </c>
      <c r="Z194">
        <v>500</v>
      </c>
      <c r="AA194">
        <v>2000</v>
      </c>
      <c r="AB194">
        <v>50</v>
      </c>
      <c r="AC194" t="s">
        <v>40</v>
      </c>
    </row>
    <row r="195" spans="1:29" x14ac:dyDescent="0.25">
      <c r="A195" t="str">
        <f>"Raman_"&amp;E195&amp;"_"&amp;B195&amp;"_"&amp;AC195&amp;"_"&amp;TEXT(F195, "000")&amp;"_"&amp;TEXT(G195, "000")&amp;"_"&amp;H195&amp;".csv"</f>
        <v>Raman_EG_Pavlovagyrans_raw_002_004_C10.csv</v>
      </c>
      <c r="B195" t="s">
        <v>255</v>
      </c>
      <c r="C195" t="s">
        <v>30</v>
      </c>
      <c r="D195" t="s">
        <v>30</v>
      </c>
      <c r="E195" t="s">
        <v>31</v>
      </c>
      <c r="F195">
        <v>2</v>
      </c>
      <c r="G195">
        <v>4</v>
      </c>
      <c r="H195" t="s">
        <v>67</v>
      </c>
      <c r="I195" t="s">
        <v>256</v>
      </c>
      <c r="J195" t="s">
        <v>34</v>
      </c>
      <c r="L195" t="s">
        <v>30</v>
      </c>
      <c r="M195">
        <v>22</v>
      </c>
      <c r="N195" t="s">
        <v>96</v>
      </c>
      <c r="O195" t="s">
        <v>243</v>
      </c>
      <c r="P195">
        <v>0</v>
      </c>
      <c r="Q195">
        <v>50</v>
      </c>
      <c r="R195" t="s">
        <v>36</v>
      </c>
      <c r="S195">
        <v>12</v>
      </c>
      <c r="T195">
        <v>12</v>
      </c>
      <c r="U195" t="s">
        <v>112</v>
      </c>
      <c r="V195" t="s">
        <v>37</v>
      </c>
      <c r="W195">
        <v>450</v>
      </c>
      <c r="X195">
        <v>532</v>
      </c>
      <c r="Y195">
        <v>8.3000000000000007</v>
      </c>
      <c r="Z195">
        <v>500</v>
      </c>
      <c r="AA195">
        <v>2000</v>
      </c>
      <c r="AB195">
        <v>50</v>
      </c>
      <c r="AC195" t="s">
        <v>40</v>
      </c>
    </row>
    <row r="196" spans="1:29" x14ac:dyDescent="0.25">
      <c r="A196" t="str">
        <f>"Raman_"&amp;E196&amp;"_"&amp;B196&amp;"_"&amp;AC196&amp;"_"&amp;TEXT(F196, "000")&amp;"_"&amp;TEXT(G196, "000")&amp;"_"&amp;H196&amp;".csv"</f>
        <v>Raman_EG_Pavlovagyrans_raw_002_004_C11.csv</v>
      </c>
      <c r="B196" t="s">
        <v>255</v>
      </c>
      <c r="C196" t="s">
        <v>30</v>
      </c>
      <c r="D196" t="s">
        <v>30</v>
      </c>
      <c r="E196" t="s">
        <v>31</v>
      </c>
      <c r="F196">
        <v>2</v>
      </c>
      <c r="G196">
        <v>4</v>
      </c>
      <c r="H196" t="s">
        <v>68</v>
      </c>
      <c r="I196" t="s">
        <v>256</v>
      </c>
      <c r="J196" t="s">
        <v>34</v>
      </c>
      <c r="L196" t="s">
        <v>30</v>
      </c>
      <c r="M196">
        <v>22</v>
      </c>
      <c r="N196" t="s">
        <v>58</v>
      </c>
      <c r="O196" t="s">
        <v>243</v>
      </c>
      <c r="P196">
        <v>0</v>
      </c>
      <c r="Q196">
        <v>50</v>
      </c>
      <c r="R196" t="s">
        <v>36</v>
      </c>
      <c r="S196">
        <v>12</v>
      </c>
      <c r="T196">
        <v>12</v>
      </c>
      <c r="U196" t="s">
        <v>112</v>
      </c>
      <c r="V196" t="s">
        <v>37</v>
      </c>
      <c r="W196">
        <v>450</v>
      </c>
      <c r="X196">
        <v>532</v>
      </c>
      <c r="Y196">
        <v>8.3000000000000007</v>
      </c>
      <c r="Z196">
        <v>500</v>
      </c>
      <c r="AA196">
        <v>2000</v>
      </c>
      <c r="AB196">
        <v>50</v>
      </c>
      <c r="AC196" t="s">
        <v>40</v>
      </c>
    </row>
    <row r="197" spans="1:29" x14ac:dyDescent="0.25">
      <c r="A197" t="str">
        <f>"Raman_"&amp;E197&amp;"_"&amp;B197&amp;"_"&amp;AC197&amp;"_"&amp;TEXT(F197, "000")&amp;"_"&amp;TEXT(G197, "000")&amp;"_"&amp;H197&amp;".csv"</f>
        <v>Raman_EG_Pavlovagyrans_raw_002_004_D1.csv</v>
      </c>
      <c r="B197" t="s">
        <v>255</v>
      </c>
      <c r="C197" t="s">
        <v>30</v>
      </c>
      <c r="D197" t="s">
        <v>30</v>
      </c>
      <c r="E197" t="s">
        <v>31</v>
      </c>
      <c r="F197">
        <v>2</v>
      </c>
      <c r="G197">
        <v>4</v>
      </c>
      <c r="H197" t="s">
        <v>146</v>
      </c>
      <c r="I197" t="s">
        <v>256</v>
      </c>
      <c r="J197" t="s">
        <v>34</v>
      </c>
      <c r="L197" t="s">
        <v>30</v>
      </c>
      <c r="M197">
        <v>22</v>
      </c>
      <c r="N197" t="s">
        <v>48</v>
      </c>
      <c r="O197" t="s">
        <v>243</v>
      </c>
      <c r="P197">
        <v>0</v>
      </c>
      <c r="Q197">
        <v>50</v>
      </c>
      <c r="R197" t="s">
        <v>36</v>
      </c>
      <c r="S197">
        <v>12</v>
      </c>
      <c r="T197">
        <v>12</v>
      </c>
      <c r="U197" t="s">
        <v>112</v>
      </c>
      <c r="V197" t="s">
        <v>37</v>
      </c>
      <c r="W197">
        <v>450</v>
      </c>
      <c r="X197">
        <v>532</v>
      </c>
      <c r="Y197">
        <v>8.3000000000000007</v>
      </c>
      <c r="Z197">
        <v>500</v>
      </c>
      <c r="AA197">
        <v>2000</v>
      </c>
      <c r="AB197">
        <v>50</v>
      </c>
      <c r="AC197" t="s">
        <v>40</v>
      </c>
    </row>
    <row r="198" spans="1:29" x14ac:dyDescent="0.25">
      <c r="A198" t="str">
        <f>"Raman_"&amp;E198&amp;"_"&amp;B198&amp;"_"&amp;AC198&amp;"_"&amp;TEXT(F198, "000")&amp;"_"&amp;TEXT(G198, "000")&amp;"_"&amp;H198&amp;".csv"</f>
        <v>Raman_EG_Pavlovagyrans_raw_002_004_D2.csv</v>
      </c>
      <c r="B198" t="s">
        <v>255</v>
      </c>
      <c r="C198" t="s">
        <v>30</v>
      </c>
      <c r="D198" t="s">
        <v>30</v>
      </c>
      <c r="E198" t="s">
        <v>31</v>
      </c>
      <c r="F198">
        <v>2</v>
      </c>
      <c r="G198">
        <v>4</v>
      </c>
      <c r="H198" t="s">
        <v>69</v>
      </c>
      <c r="I198" t="s">
        <v>256</v>
      </c>
      <c r="J198" t="s">
        <v>34</v>
      </c>
      <c r="L198" t="s">
        <v>30</v>
      </c>
      <c r="M198">
        <v>22</v>
      </c>
      <c r="N198" t="s">
        <v>88</v>
      </c>
      <c r="O198" t="s">
        <v>243</v>
      </c>
      <c r="P198">
        <v>0</v>
      </c>
      <c r="Q198">
        <v>50</v>
      </c>
      <c r="R198" t="s">
        <v>36</v>
      </c>
      <c r="S198">
        <v>12</v>
      </c>
      <c r="T198">
        <v>12</v>
      </c>
      <c r="U198" t="s">
        <v>112</v>
      </c>
      <c r="V198" t="s">
        <v>37</v>
      </c>
      <c r="W198">
        <v>450</v>
      </c>
      <c r="X198">
        <v>532</v>
      </c>
      <c r="Y198">
        <v>8.3000000000000007</v>
      </c>
      <c r="Z198">
        <v>500</v>
      </c>
      <c r="AA198">
        <v>2000</v>
      </c>
      <c r="AB198">
        <v>50</v>
      </c>
      <c r="AC198" t="s">
        <v>40</v>
      </c>
    </row>
    <row r="199" spans="1:29" x14ac:dyDescent="0.25">
      <c r="A199" t="str">
        <f>"Raman_"&amp;E199&amp;"_"&amp;B199&amp;"_"&amp;AC199&amp;"_"&amp;TEXT(F199, "000")&amp;"_"&amp;TEXT(G199, "000")&amp;"_"&amp;H199&amp;".csv"</f>
        <v>Raman_EG_Pavlovagyrans_raw_002_004_D3.csv</v>
      </c>
      <c r="B199" t="s">
        <v>255</v>
      </c>
      <c r="C199" t="s">
        <v>30</v>
      </c>
      <c r="D199" t="s">
        <v>30</v>
      </c>
      <c r="E199" t="s">
        <v>31</v>
      </c>
      <c r="F199">
        <v>2</v>
      </c>
      <c r="G199">
        <v>4</v>
      </c>
      <c r="H199" t="s">
        <v>70</v>
      </c>
      <c r="I199" t="s">
        <v>256</v>
      </c>
      <c r="J199" t="s">
        <v>34</v>
      </c>
      <c r="L199" t="s">
        <v>30</v>
      </c>
      <c r="M199">
        <v>22</v>
      </c>
      <c r="N199" t="s">
        <v>50</v>
      </c>
      <c r="O199" t="s">
        <v>243</v>
      </c>
      <c r="P199">
        <v>0</v>
      </c>
      <c r="Q199">
        <v>50</v>
      </c>
      <c r="R199" t="s">
        <v>36</v>
      </c>
      <c r="S199">
        <v>12</v>
      </c>
      <c r="T199">
        <v>12</v>
      </c>
      <c r="U199" t="s">
        <v>112</v>
      </c>
      <c r="V199" t="s">
        <v>37</v>
      </c>
      <c r="W199">
        <v>450</v>
      </c>
      <c r="X199">
        <v>532</v>
      </c>
      <c r="Y199">
        <v>8.3000000000000007</v>
      </c>
      <c r="Z199">
        <v>500</v>
      </c>
      <c r="AA199">
        <v>2000</v>
      </c>
      <c r="AB199">
        <v>50</v>
      </c>
      <c r="AC199" t="s">
        <v>40</v>
      </c>
    </row>
    <row r="200" spans="1:29" x14ac:dyDescent="0.25">
      <c r="A200" t="str">
        <f>"Raman_"&amp;E200&amp;"_"&amp;B200&amp;"_"&amp;AC200&amp;"_"&amp;TEXT(F200, "000")&amp;"_"&amp;TEXT(G200, "000")&amp;"_"&amp;H200&amp;".csv"</f>
        <v>Raman_EG_Pavlovagyrans_raw_002_004_D4.csv</v>
      </c>
      <c r="B200" t="s">
        <v>255</v>
      </c>
      <c r="C200" t="s">
        <v>30</v>
      </c>
      <c r="D200" t="s">
        <v>30</v>
      </c>
      <c r="E200" t="s">
        <v>31</v>
      </c>
      <c r="F200">
        <v>2</v>
      </c>
      <c r="G200">
        <v>4</v>
      </c>
      <c r="H200" t="s">
        <v>71</v>
      </c>
      <c r="I200" t="s">
        <v>256</v>
      </c>
      <c r="J200" t="s">
        <v>34</v>
      </c>
      <c r="L200" t="s">
        <v>30</v>
      </c>
      <c r="M200">
        <v>22</v>
      </c>
      <c r="N200" t="s">
        <v>90</v>
      </c>
      <c r="O200" t="s">
        <v>243</v>
      </c>
      <c r="P200">
        <v>0</v>
      </c>
      <c r="Q200">
        <v>50</v>
      </c>
      <c r="R200" t="s">
        <v>36</v>
      </c>
      <c r="S200">
        <v>12</v>
      </c>
      <c r="T200">
        <v>12</v>
      </c>
      <c r="U200" t="s">
        <v>112</v>
      </c>
      <c r="V200" t="s">
        <v>37</v>
      </c>
      <c r="W200">
        <v>450</v>
      </c>
      <c r="X200">
        <v>532</v>
      </c>
      <c r="Y200">
        <v>8.3000000000000007</v>
      </c>
      <c r="Z200">
        <v>500</v>
      </c>
      <c r="AA200">
        <v>2000</v>
      </c>
      <c r="AB200">
        <v>50</v>
      </c>
      <c r="AC200" t="s">
        <v>40</v>
      </c>
    </row>
    <row r="201" spans="1:29" x14ac:dyDescent="0.25">
      <c r="A201" t="str">
        <f>"Raman_"&amp;E201&amp;"_"&amp;B201&amp;"_"&amp;AC201&amp;"_"&amp;TEXT(F201, "000")&amp;"_"&amp;TEXT(G201, "000")&amp;"_"&amp;H201&amp;".csv"</f>
        <v>Raman_EG_Pavlovagyrans_raw_002_004_D5.csv</v>
      </c>
      <c r="B201" t="s">
        <v>255</v>
      </c>
      <c r="C201" t="s">
        <v>30</v>
      </c>
      <c r="D201" t="s">
        <v>30</v>
      </c>
      <c r="E201" t="s">
        <v>31</v>
      </c>
      <c r="F201">
        <v>2</v>
      </c>
      <c r="G201">
        <v>4</v>
      </c>
      <c r="H201" t="s">
        <v>72</v>
      </c>
      <c r="I201" t="s">
        <v>256</v>
      </c>
      <c r="J201" t="s">
        <v>34</v>
      </c>
      <c r="L201" t="s">
        <v>30</v>
      </c>
      <c r="M201">
        <v>22</v>
      </c>
      <c r="N201" t="s">
        <v>52</v>
      </c>
      <c r="O201" t="s">
        <v>243</v>
      </c>
      <c r="P201">
        <v>0</v>
      </c>
      <c r="Q201">
        <v>50</v>
      </c>
      <c r="R201" t="s">
        <v>36</v>
      </c>
      <c r="S201">
        <v>12</v>
      </c>
      <c r="T201">
        <v>12</v>
      </c>
      <c r="U201" t="s">
        <v>112</v>
      </c>
      <c r="V201" t="s">
        <v>37</v>
      </c>
      <c r="W201">
        <v>450</v>
      </c>
      <c r="X201">
        <v>532</v>
      </c>
      <c r="Y201">
        <v>8.3000000000000007</v>
      </c>
      <c r="Z201">
        <v>500</v>
      </c>
      <c r="AA201">
        <v>2000</v>
      </c>
      <c r="AB201">
        <v>50</v>
      </c>
      <c r="AC201" t="s">
        <v>40</v>
      </c>
    </row>
    <row r="202" spans="1:29" x14ac:dyDescent="0.25">
      <c r="A202" t="str">
        <f>"Raman_"&amp;E202&amp;"_"&amp;B202&amp;"_"&amp;AC202&amp;"_"&amp;TEXT(F202, "000")&amp;"_"&amp;TEXT(G202, "000")&amp;"_"&amp;H202&amp;".csv"</f>
        <v>Raman_EG_Pavlovagyrans_raw_002_004_D6.csv</v>
      </c>
      <c r="B202" t="s">
        <v>255</v>
      </c>
      <c r="C202" t="s">
        <v>30</v>
      </c>
      <c r="D202" t="s">
        <v>30</v>
      </c>
      <c r="E202" t="s">
        <v>31</v>
      </c>
      <c r="F202">
        <v>2</v>
      </c>
      <c r="G202">
        <v>4</v>
      </c>
      <c r="H202" t="s">
        <v>73</v>
      </c>
      <c r="I202" t="s">
        <v>256</v>
      </c>
      <c r="J202" t="s">
        <v>34</v>
      </c>
      <c r="L202" t="s">
        <v>30</v>
      </c>
      <c r="M202">
        <v>22</v>
      </c>
      <c r="N202" t="s">
        <v>92</v>
      </c>
      <c r="O202" t="s">
        <v>243</v>
      </c>
      <c r="P202">
        <v>0</v>
      </c>
      <c r="Q202">
        <v>50</v>
      </c>
      <c r="R202" t="s">
        <v>36</v>
      </c>
      <c r="S202">
        <v>12</v>
      </c>
      <c r="T202">
        <v>12</v>
      </c>
      <c r="U202" t="s">
        <v>112</v>
      </c>
      <c r="V202" t="s">
        <v>37</v>
      </c>
      <c r="W202">
        <v>450</v>
      </c>
      <c r="X202">
        <v>532</v>
      </c>
      <c r="Y202">
        <v>8.3000000000000007</v>
      </c>
      <c r="Z202">
        <v>500</v>
      </c>
      <c r="AA202">
        <v>2000</v>
      </c>
      <c r="AB202">
        <v>50</v>
      </c>
      <c r="AC202" t="s">
        <v>40</v>
      </c>
    </row>
    <row r="203" spans="1:29" x14ac:dyDescent="0.25">
      <c r="A203" t="str">
        <f>"Raman_"&amp;E203&amp;"_"&amp;B203&amp;"_"&amp;AC203&amp;"_"&amp;TEXT(F203, "000")&amp;"_"&amp;TEXT(G203, "000")&amp;"_"&amp;H203&amp;".csv"</f>
        <v>Raman_EG_Pavlovagyrans_raw_002_004_D7.csv</v>
      </c>
      <c r="B203" t="s">
        <v>255</v>
      </c>
      <c r="C203" t="s">
        <v>30</v>
      </c>
      <c r="D203" t="s">
        <v>30</v>
      </c>
      <c r="E203" t="s">
        <v>31</v>
      </c>
      <c r="F203">
        <v>2</v>
      </c>
      <c r="G203">
        <v>4</v>
      </c>
      <c r="H203" t="s">
        <v>74</v>
      </c>
      <c r="I203" t="s">
        <v>256</v>
      </c>
      <c r="J203" t="s">
        <v>34</v>
      </c>
      <c r="L203" t="s">
        <v>30</v>
      </c>
      <c r="M203">
        <v>22</v>
      </c>
      <c r="N203" t="s">
        <v>54</v>
      </c>
      <c r="O203" t="s">
        <v>243</v>
      </c>
      <c r="P203">
        <v>0</v>
      </c>
      <c r="Q203">
        <v>50</v>
      </c>
      <c r="R203" t="s">
        <v>36</v>
      </c>
      <c r="S203">
        <v>12</v>
      </c>
      <c r="T203">
        <v>12</v>
      </c>
      <c r="U203" t="s">
        <v>112</v>
      </c>
      <c r="V203" t="s">
        <v>37</v>
      </c>
      <c r="W203">
        <v>450</v>
      </c>
      <c r="X203">
        <v>532</v>
      </c>
      <c r="Y203">
        <v>8.3000000000000007</v>
      </c>
      <c r="Z203">
        <v>500</v>
      </c>
      <c r="AA203">
        <v>2000</v>
      </c>
      <c r="AB203">
        <v>50</v>
      </c>
      <c r="AC203" t="s">
        <v>40</v>
      </c>
    </row>
    <row r="204" spans="1:29" x14ac:dyDescent="0.25">
      <c r="A204" t="str">
        <f>"Raman_"&amp;E204&amp;"_"&amp;B204&amp;"_"&amp;AC204&amp;"_"&amp;TEXT(F204, "000")&amp;"_"&amp;TEXT(G204, "000")&amp;"_"&amp;H204&amp;".csv"</f>
        <v>Raman_EG_Pavlovagyrans_raw_002_004_D8.csv</v>
      </c>
      <c r="B204" t="s">
        <v>255</v>
      </c>
      <c r="C204" t="s">
        <v>30</v>
      </c>
      <c r="D204" t="s">
        <v>30</v>
      </c>
      <c r="E204" t="s">
        <v>31</v>
      </c>
      <c r="F204">
        <v>2</v>
      </c>
      <c r="G204">
        <v>4</v>
      </c>
      <c r="H204" t="s">
        <v>75</v>
      </c>
      <c r="I204" t="s">
        <v>256</v>
      </c>
      <c r="J204" t="s">
        <v>34</v>
      </c>
      <c r="L204" t="s">
        <v>30</v>
      </c>
      <c r="M204">
        <v>22</v>
      </c>
      <c r="N204" t="s">
        <v>94</v>
      </c>
      <c r="O204" t="s">
        <v>243</v>
      </c>
      <c r="P204">
        <v>0</v>
      </c>
      <c r="Q204">
        <v>50</v>
      </c>
      <c r="R204" t="s">
        <v>36</v>
      </c>
      <c r="S204">
        <v>12</v>
      </c>
      <c r="T204">
        <v>12</v>
      </c>
      <c r="U204" t="s">
        <v>112</v>
      </c>
      <c r="V204" t="s">
        <v>37</v>
      </c>
      <c r="W204">
        <v>450</v>
      </c>
      <c r="X204">
        <v>532</v>
      </c>
      <c r="Y204">
        <v>8.3000000000000007</v>
      </c>
      <c r="Z204">
        <v>500</v>
      </c>
      <c r="AA204">
        <v>2000</v>
      </c>
      <c r="AB204">
        <v>50</v>
      </c>
      <c r="AC204" t="s">
        <v>40</v>
      </c>
    </row>
    <row r="205" spans="1:29" x14ac:dyDescent="0.25">
      <c r="A205" t="str">
        <f>"Raman_"&amp;E205&amp;"_"&amp;B205&amp;"_"&amp;AC205&amp;"_"&amp;TEXT(F205, "000")&amp;"_"&amp;TEXT(G205, "000")&amp;"_"&amp;H205&amp;".csv"</f>
        <v>Raman_EG_Pavlovagyrans_raw_002_004_D9.csv</v>
      </c>
      <c r="B205" t="s">
        <v>255</v>
      </c>
      <c r="C205" t="s">
        <v>30</v>
      </c>
      <c r="D205" t="s">
        <v>30</v>
      </c>
      <c r="E205" t="s">
        <v>31</v>
      </c>
      <c r="F205">
        <v>2</v>
      </c>
      <c r="G205">
        <v>4</v>
      </c>
      <c r="H205" t="s">
        <v>76</v>
      </c>
      <c r="I205" t="s">
        <v>256</v>
      </c>
      <c r="J205" t="s">
        <v>34</v>
      </c>
      <c r="L205" t="s">
        <v>30</v>
      </c>
      <c r="M205">
        <v>22</v>
      </c>
      <c r="N205" t="s">
        <v>56</v>
      </c>
      <c r="O205" t="s">
        <v>243</v>
      </c>
      <c r="P205">
        <v>0</v>
      </c>
      <c r="Q205">
        <v>50</v>
      </c>
      <c r="R205" t="s">
        <v>36</v>
      </c>
      <c r="S205">
        <v>12</v>
      </c>
      <c r="T205">
        <v>12</v>
      </c>
      <c r="U205" t="s">
        <v>112</v>
      </c>
      <c r="V205" t="s">
        <v>37</v>
      </c>
      <c r="W205">
        <v>450</v>
      </c>
      <c r="X205">
        <v>532</v>
      </c>
      <c r="Y205">
        <v>8.3000000000000007</v>
      </c>
      <c r="Z205">
        <v>500</v>
      </c>
      <c r="AA205">
        <v>2000</v>
      </c>
      <c r="AB205">
        <v>50</v>
      </c>
      <c r="AC205" t="s">
        <v>40</v>
      </c>
    </row>
    <row r="206" spans="1:29" x14ac:dyDescent="0.25">
      <c r="A206" t="str">
        <f>"Raman_"&amp;E206&amp;"_"&amp;B206&amp;"_"&amp;AC206&amp;"_"&amp;TEXT(F206, "000")&amp;"_"&amp;TEXT(G206, "000")&amp;"_"&amp;H206&amp;".csv"</f>
        <v>Raman_EG_Pavlovagyrans_raw_002_004_D10.csv</v>
      </c>
      <c r="B206" t="s">
        <v>255</v>
      </c>
      <c r="C206" t="s">
        <v>30</v>
      </c>
      <c r="D206" t="s">
        <v>30</v>
      </c>
      <c r="E206" t="s">
        <v>31</v>
      </c>
      <c r="F206">
        <v>2</v>
      </c>
      <c r="G206">
        <v>4</v>
      </c>
      <c r="H206" t="s">
        <v>77</v>
      </c>
      <c r="I206" t="s">
        <v>256</v>
      </c>
      <c r="J206" t="s">
        <v>34</v>
      </c>
      <c r="L206" t="s">
        <v>30</v>
      </c>
      <c r="M206">
        <v>22</v>
      </c>
      <c r="N206" t="s">
        <v>96</v>
      </c>
      <c r="O206" t="s">
        <v>243</v>
      </c>
      <c r="P206">
        <v>0</v>
      </c>
      <c r="Q206">
        <v>50</v>
      </c>
      <c r="R206" t="s">
        <v>36</v>
      </c>
      <c r="S206">
        <v>12</v>
      </c>
      <c r="T206">
        <v>12</v>
      </c>
      <c r="U206" t="s">
        <v>112</v>
      </c>
      <c r="V206" t="s">
        <v>37</v>
      </c>
      <c r="W206">
        <v>450</v>
      </c>
      <c r="X206">
        <v>532</v>
      </c>
      <c r="Y206">
        <v>8.3000000000000007</v>
      </c>
      <c r="Z206">
        <v>500</v>
      </c>
      <c r="AA206">
        <v>2000</v>
      </c>
      <c r="AB206">
        <v>50</v>
      </c>
      <c r="AC206" t="s">
        <v>40</v>
      </c>
    </row>
    <row r="207" spans="1:29" x14ac:dyDescent="0.25">
      <c r="A207" t="str">
        <f>"Raman_"&amp;E207&amp;"_"&amp;B207&amp;"_"&amp;AC207&amp;"_"&amp;TEXT(F207, "000")&amp;"_"&amp;TEXT(G207, "000")&amp;"_"&amp;H207&amp;".csv"</f>
        <v>Raman_EG_Pavlovagyrans_raw_002_004_D11.csv</v>
      </c>
      <c r="B207" t="s">
        <v>255</v>
      </c>
      <c r="C207" t="s">
        <v>30</v>
      </c>
      <c r="D207" t="s">
        <v>30</v>
      </c>
      <c r="E207" t="s">
        <v>31</v>
      </c>
      <c r="F207">
        <v>2</v>
      </c>
      <c r="G207">
        <v>4</v>
      </c>
      <c r="H207" t="s">
        <v>78</v>
      </c>
      <c r="I207" t="s">
        <v>256</v>
      </c>
      <c r="J207" t="s">
        <v>34</v>
      </c>
      <c r="L207" t="s">
        <v>30</v>
      </c>
      <c r="M207">
        <v>22</v>
      </c>
      <c r="N207" t="s">
        <v>58</v>
      </c>
      <c r="O207" t="s">
        <v>243</v>
      </c>
      <c r="P207">
        <v>0</v>
      </c>
      <c r="Q207">
        <v>50</v>
      </c>
      <c r="R207" t="s">
        <v>36</v>
      </c>
      <c r="S207">
        <v>12</v>
      </c>
      <c r="T207">
        <v>12</v>
      </c>
      <c r="U207" t="s">
        <v>112</v>
      </c>
      <c r="V207" t="s">
        <v>37</v>
      </c>
      <c r="W207">
        <v>450</v>
      </c>
      <c r="X207">
        <v>532</v>
      </c>
      <c r="Y207">
        <v>8.3000000000000007</v>
      </c>
      <c r="Z207">
        <v>500</v>
      </c>
      <c r="AA207">
        <v>2000</v>
      </c>
      <c r="AB207">
        <v>50</v>
      </c>
      <c r="AC207" t="s">
        <v>40</v>
      </c>
    </row>
    <row r="208" spans="1:29" x14ac:dyDescent="0.25">
      <c r="A208" t="str">
        <f>"Raman_"&amp;E208&amp;"_"&amp;B208&amp;"_"&amp;AC208&amp;"_"&amp;TEXT(F208, "000")&amp;"_"&amp;TEXT(G208, "000")&amp;"_"&amp;H208&amp;".csv"</f>
        <v>Raman_EG_Pavlovagyrans_raw_002_004_E1.csv</v>
      </c>
      <c r="B208" t="s">
        <v>255</v>
      </c>
      <c r="C208" t="s">
        <v>30</v>
      </c>
      <c r="D208" t="s">
        <v>30</v>
      </c>
      <c r="E208" t="s">
        <v>31</v>
      </c>
      <c r="F208">
        <v>2</v>
      </c>
      <c r="G208">
        <v>4</v>
      </c>
      <c r="H208" t="s">
        <v>155</v>
      </c>
      <c r="I208" t="s">
        <v>256</v>
      </c>
      <c r="J208" t="s">
        <v>34</v>
      </c>
      <c r="L208" t="s">
        <v>30</v>
      </c>
      <c r="M208">
        <v>22</v>
      </c>
      <c r="N208" t="s">
        <v>48</v>
      </c>
      <c r="O208" t="s">
        <v>243</v>
      </c>
      <c r="P208">
        <v>0</v>
      </c>
      <c r="Q208">
        <v>50</v>
      </c>
      <c r="R208" t="s">
        <v>36</v>
      </c>
      <c r="S208">
        <v>12</v>
      </c>
      <c r="T208">
        <v>12</v>
      </c>
      <c r="U208" t="s">
        <v>112</v>
      </c>
      <c r="V208" t="s">
        <v>37</v>
      </c>
      <c r="W208">
        <v>450</v>
      </c>
      <c r="X208">
        <v>532</v>
      </c>
      <c r="Y208">
        <v>8.3000000000000007</v>
      </c>
      <c r="Z208">
        <v>500</v>
      </c>
      <c r="AA208">
        <v>2000</v>
      </c>
      <c r="AB208">
        <v>50</v>
      </c>
      <c r="AC208" t="s">
        <v>40</v>
      </c>
    </row>
    <row r="209" spans="1:29" x14ac:dyDescent="0.25">
      <c r="A209" t="str">
        <f>"Raman_"&amp;E209&amp;"_"&amp;B209&amp;"_"&amp;AC209&amp;"_"&amp;TEXT(F209, "000")&amp;"_"&amp;TEXT(G209, "000")&amp;"_"&amp;H209&amp;".csv"</f>
        <v>Raman_EG_Pavlovagyrans_raw_002_004_E2.csv</v>
      </c>
      <c r="B209" t="s">
        <v>255</v>
      </c>
      <c r="C209" t="s">
        <v>30</v>
      </c>
      <c r="D209" t="s">
        <v>30</v>
      </c>
      <c r="E209" t="s">
        <v>31</v>
      </c>
      <c r="F209">
        <v>2</v>
      </c>
      <c r="G209">
        <v>4</v>
      </c>
      <c r="H209" t="s">
        <v>79</v>
      </c>
      <c r="I209" t="s">
        <v>256</v>
      </c>
      <c r="J209" t="s">
        <v>34</v>
      </c>
      <c r="L209" t="s">
        <v>30</v>
      </c>
      <c r="M209">
        <v>22</v>
      </c>
      <c r="N209" t="s">
        <v>88</v>
      </c>
      <c r="O209" t="s">
        <v>243</v>
      </c>
      <c r="P209">
        <v>0</v>
      </c>
      <c r="Q209">
        <v>50</v>
      </c>
      <c r="R209" t="s">
        <v>36</v>
      </c>
      <c r="S209">
        <v>12</v>
      </c>
      <c r="T209">
        <v>12</v>
      </c>
      <c r="U209" t="s">
        <v>112</v>
      </c>
      <c r="V209" t="s">
        <v>37</v>
      </c>
      <c r="W209">
        <v>450</v>
      </c>
      <c r="X209">
        <v>532</v>
      </c>
      <c r="Y209">
        <v>8.3000000000000007</v>
      </c>
      <c r="Z209">
        <v>500</v>
      </c>
      <c r="AA209">
        <v>2000</v>
      </c>
      <c r="AB209">
        <v>50</v>
      </c>
      <c r="AC209" t="s">
        <v>40</v>
      </c>
    </row>
    <row r="210" spans="1:29" x14ac:dyDescent="0.25">
      <c r="A210" t="str">
        <f>"Raman_"&amp;E210&amp;"_"&amp;B210&amp;"_"&amp;AC210&amp;"_"&amp;TEXT(F210, "000")&amp;"_"&amp;TEXT(G210, "000")&amp;"_"&amp;H210&amp;".csv"</f>
        <v>Raman_EG_Pavlovagyrans_raw_002_004_E3.csv</v>
      </c>
      <c r="B210" t="s">
        <v>255</v>
      </c>
      <c r="C210" t="s">
        <v>30</v>
      </c>
      <c r="D210" t="s">
        <v>30</v>
      </c>
      <c r="E210" t="s">
        <v>31</v>
      </c>
      <c r="F210">
        <v>2</v>
      </c>
      <c r="G210">
        <v>4</v>
      </c>
      <c r="H210" t="s">
        <v>81</v>
      </c>
      <c r="I210" t="s">
        <v>256</v>
      </c>
      <c r="J210" t="s">
        <v>34</v>
      </c>
      <c r="L210" t="s">
        <v>30</v>
      </c>
      <c r="M210">
        <v>22</v>
      </c>
      <c r="N210" t="s">
        <v>50</v>
      </c>
      <c r="O210" t="s">
        <v>243</v>
      </c>
      <c r="P210">
        <v>0</v>
      </c>
      <c r="Q210">
        <v>50</v>
      </c>
      <c r="R210" t="s">
        <v>36</v>
      </c>
      <c r="S210">
        <v>12</v>
      </c>
      <c r="T210">
        <v>12</v>
      </c>
      <c r="U210" t="s">
        <v>112</v>
      </c>
      <c r="V210" t="s">
        <v>37</v>
      </c>
      <c r="W210">
        <v>450</v>
      </c>
      <c r="X210">
        <v>532</v>
      </c>
      <c r="Y210">
        <v>8.3000000000000007</v>
      </c>
      <c r="Z210">
        <v>500</v>
      </c>
      <c r="AA210">
        <v>2000</v>
      </c>
      <c r="AB210">
        <v>50</v>
      </c>
      <c r="AC210" t="s">
        <v>40</v>
      </c>
    </row>
    <row r="211" spans="1:29" x14ac:dyDescent="0.25">
      <c r="A211" t="str">
        <f>"Raman_"&amp;E211&amp;"_"&amp;B211&amp;"_"&amp;AC211&amp;"_"&amp;TEXT(F211, "000")&amp;"_"&amp;TEXT(G211, "000")&amp;"_"&amp;H211&amp;".csv"</f>
        <v>Raman_EG_Pavlovagyrans_raw_002_004_E4.csv</v>
      </c>
      <c r="B211" t="s">
        <v>255</v>
      </c>
      <c r="C211" t="s">
        <v>30</v>
      </c>
      <c r="D211" t="s">
        <v>30</v>
      </c>
      <c r="E211" t="s">
        <v>31</v>
      </c>
      <c r="F211">
        <v>2</v>
      </c>
      <c r="G211">
        <v>4</v>
      </c>
      <c r="H211" t="s">
        <v>83</v>
      </c>
      <c r="I211" t="s">
        <v>256</v>
      </c>
      <c r="J211" t="s">
        <v>34</v>
      </c>
      <c r="L211" t="s">
        <v>30</v>
      </c>
      <c r="M211">
        <v>22</v>
      </c>
      <c r="N211" t="s">
        <v>90</v>
      </c>
      <c r="O211" t="s">
        <v>243</v>
      </c>
      <c r="P211">
        <v>0</v>
      </c>
      <c r="Q211">
        <v>50</v>
      </c>
      <c r="R211" t="s">
        <v>36</v>
      </c>
      <c r="S211">
        <v>12</v>
      </c>
      <c r="T211">
        <v>12</v>
      </c>
      <c r="U211" t="s">
        <v>112</v>
      </c>
      <c r="V211" t="s">
        <v>37</v>
      </c>
      <c r="W211">
        <v>450</v>
      </c>
      <c r="X211">
        <v>532</v>
      </c>
      <c r="Y211">
        <v>8.3000000000000007</v>
      </c>
      <c r="Z211">
        <v>500</v>
      </c>
      <c r="AA211">
        <v>2000</v>
      </c>
      <c r="AB211">
        <v>50</v>
      </c>
      <c r="AC211" t="s">
        <v>40</v>
      </c>
    </row>
    <row r="212" spans="1:29" x14ac:dyDescent="0.25">
      <c r="A212" t="str">
        <f>"Raman_"&amp;E212&amp;"_"&amp;B212&amp;"_"&amp;AC212&amp;"_"&amp;TEXT(F212, "000")&amp;"_"&amp;TEXT(G212, "000")&amp;"_"&amp;H212&amp;".csv"</f>
        <v>Raman_EG_Pavlovagyrans_raw_002_004_E5.csv</v>
      </c>
      <c r="B212" t="s">
        <v>255</v>
      </c>
      <c r="C212" t="s">
        <v>30</v>
      </c>
      <c r="D212" t="s">
        <v>30</v>
      </c>
      <c r="E212" t="s">
        <v>31</v>
      </c>
      <c r="F212">
        <v>2</v>
      </c>
      <c r="G212">
        <v>4</v>
      </c>
      <c r="H212" t="s">
        <v>85</v>
      </c>
      <c r="I212" t="s">
        <v>256</v>
      </c>
      <c r="J212" t="s">
        <v>34</v>
      </c>
      <c r="L212" t="s">
        <v>30</v>
      </c>
      <c r="M212">
        <v>22</v>
      </c>
      <c r="N212" t="s">
        <v>52</v>
      </c>
      <c r="O212" t="s">
        <v>243</v>
      </c>
      <c r="P212">
        <v>0</v>
      </c>
      <c r="Q212">
        <v>50</v>
      </c>
      <c r="R212" t="s">
        <v>36</v>
      </c>
      <c r="S212">
        <v>12</v>
      </c>
      <c r="T212">
        <v>12</v>
      </c>
      <c r="U212" t="s">
        <v>112</v>
      </c>
      <c r="V212" t="s">
        <v>37</v>
      </c>
      <c r="W212">
        <v>450</v>
      </c>
      <c r="X212">
        <v>532</v>
      </c>
      <c r="Y212">
        <v>8.3000000000000007</v>
      </c>
      <c r="Z212">
        <v>500</v>
      </c>
      <c r="AA212">
        <v>2000</v>
      </c>
      <c r="AB212">
        <v>50</v>
      </c>
      <c r="AC212" t="s">
        <v>40</v>
      </c>
    </row>
    <row r="213" spans="1:29" x14ac:dyDescent="0.25">
      <c r="A213" t="str">
        <f>"Raman_"&amp;E213&amp;"_"&amp;B213&amp;"_"&amp;AC213&amp;"_"&amp;TEXT(F213, "000")&amp;"_"&amp;TEXT(G213, "000")&amp;"_"&amp;H213&amp;".csv"</f>
        <v>Raman_EG_Pavlovagyrans_raw_002_004_E6.csv</v>
      </c>
      <c r="B213" t="s">
        <v>255</v>
      </c>
      <c r="C213" t="s">
        <v>30</v>
      </c>
      <c r="D213" t="s">
        <v>30</v>
      </c>
      <c r="E213" t="s">
        <v>31</v>
      </c>
      <c r="F213">
        <v>2</v>
      </c>
      <c r="G213">
        <v>4</v>
      </c>
      <c r="H213" t="s">
        <v>87</v>
      </c>
      <c r="I213" t="s">
        <v>256</v>
      </c>
      <c r="J213" t="s">
        <v>34</v>
      </c>
      <c r="L213" t="s">
        <v>30</v>
      </c>
      <c r="M213">
        <v>22</v>
      </c>
      <c r="N213" t="s">
        <v>92</v>
      </c>
      <c r="O213" t="s">
        <v>243</v>
      </c>
      <c r="P213">
        <v>0</v>
      </c>
      <c r="Q213">
        <v>50</v>
      </c>
      <c r="R213" t="s">
        <v>36</v>
      </c>
      <c r="S213">
        <v>12</v>
      </c>
      <c r="T213">
        <v>12</v>
      </c>
      <c r="U213" t="s">
        <v>112</v>
      </c>
      <c r="V213" t="s">
        <v>37</v>
      </c>
      <c r="W213">
        <v>450</v>
      </c>
      <c r="X213">
        <v>532</v>
      </c>
      <c r="Y213">
        <v>8.3000000000000007</v>
      </c>
      <c r="Z213">
        <v>500</v>
      </c>
      <c r="AA213">
        <v>2000</v>
      </c>
      <c r="AB213">
        <v>50</v>
      </c>
      <c r="AC213" t="s">
        <v>40</v>
      </c>
    </row>
    <row r="214" spans="1:29" x14ac:dyDescent="0.25">
      <c r="A214" t="str">
        <f>"Raman_"&amp;E214&amp;"_"&amp;B214&amp;"_"&amp;AC214&amp;"_"&amp;TEXT(F214, "000")&amp;"_"&amp;TEXT(G214, "000")&amp;"_"&amp;H214&amp;".csv"</f>
        <v>Raman_EG_Pavlovagyrans_raw_002_004_E7.csv</v>
      </c>
      <c r="B214" t="s">
        <v>255</v>
      </c>
      <c r="C214" t="s">
        <v>30</v>
      </c>
      <c r="D214" t="s">
        <v>30</v>
      </c>
      <c r="E214" t="s">
        <v>31</v>
      </c>
      <c r="F214">
        <v>2</v>
      </c>
      <c r="G214">
        <v>4</v>
      </c>
      <c r="H214" t="s">
        <v>89</v>
      </c>
      <c r="I214" t="s">
        <v>256</v>
      </c>
      <c r="J214" t="s">
        <v>34</v>
      </c>
      <c r="L214" t="s">
        <v>30</v>
      </c>
      <c r="M214">
        <v>22</v>
      </c>
      <c r="N214" t="s">
        <v>54</v>
      </c>
      <c r="O214" t="s">
        <v>243</v>
      </c>
      <c r="P214">
        <v>0</v>
      </c>
      <c r="Q214">
        <v>50</v>
      </c>
      <c r="R214" t="s">
        <v>36</v>
      </c>
      <c r="S214">
        <v>12</v>
      </c>
      <c r="T214">
        <v>12</v>
      </c>
      <c r="U214" t="s">
        <v>112</v>
      </c>
      <c r="V214" t="s">
        <v>37</v>
      </c>
      <c r="W214">
        <v>450</v>
      </c>
      <c r="X214">
        <v>532</v>
      </c>
      <c r="Y214">
        <v>8.3000000000000007</v>
      </c>
      <c r="Z214">
        <v>500</v>
      </c>
      <c r="AA214">
        <v>2000</v>
      </c>
      <c r="AB214">
        <v>50</v>
      </c>
      <c r="AC214" t="s">
        <v>40</v>
      </c>
    </row>
    <row r="215" spans="1:29" x14ac:dyDescent="0.25">
      <c r="A215" t="str">
        <f>"Raman_"&amp;E215&amp;"_"&amp;B215&amp;"_"&amp;AC215&amp;"_"&amp;TEXT(F215, "000")&amp;"_"&amp;TEXT(G215, "000")&amp;"_"&amp;H215&amp;".csv"</f>
        <v>Raman_EG_Pavlovagyrans_raw_002_004_E8.csv</v>
      </c>
      <c r="B215" t="s">
        <v>255</v>
      </c>
      <c r="C215" t="s">
        <v>30</v>
      </c>
      <c r="D215" t="s">
        <v>30</v>
      </c>
      <c r="E215" t="s">
        <v>31</v>
      </c>
      <c r="F215">
        <v>2</v>
      </c>
      <c r="G215">
        <v>4</v>
      </c>
      <c r="H215" t="s">
        <v>91</v>
      </c>
      <c r="I215" t="s">
        <v>256</v>
      </c>
      <c r="J215" t="s">
        <v>34</v>
      </c>
      <c r="L215" t="s">
        <v>30</v>
      </c>
      <c r="M215">
        <v>22</v>
      </c>
      <c r="N215" t="s">
        <v>94</v>
      </c>
      <c r="O215" t="s">
        <v>243</v>
      </c>
      <c r="P215">
        <v>0</v>
      </c>
      <c r="Q215">
        <v>50</v>
      </c>
      <c r="R215" t="s">
        <v>36</v>
      </c>
      <c r="S215">
        <v>12</v>
      </c>
      <c r="T215">
        <v>12</v>
      </c>
      <c r="U215" t="s">
        <v>112</v>
      </c>
      <c r="V215" t="s">
        <v>37</v>
      </c>
      <c r="W215">
        <v>450</v>
      </c>
      <c r="X215">
        <v>532</v>
      </c>
      <c r="Y215">
        <v>8.3000000000000007</v>
      </c>
      <c r="Z215">
        <v>500</v>
      </c>
      <c r="AA215">
        <v>2000</v>
      </c>
      <c r="AB215">
        <v>50</v>
      </c>
      <c r="AC215" t="s">
        <v>40</v>
      </c>
    </row>
    <row r="216" spans="1:29" x14ac:dyDescent="0.25">
      <c r="A216" t="str">
        <f>"Raman_"&amp;E216&amp;"_"&amp;B216&amp;"_"&amp;AC216&amp;"_"&amp;TEXT(F216, "000")&amp;"_"&amp;TEXT(G216, "000")&amp;"_"&amp;H216&amp;".csv"</f>
        <v>Raman_EG_Pavlovagyrans_raw_002_004_E9.csv</v>
      </c>
      <c r="B216" t="s">
        <v>255</v>
      </c>
      <c r="C216" t="s">
        <v>30</v>
      </c>
      <c r="D216" t="s">
        <v>30</v>
      </c>
      <c r="E216" t="s">
        <v>31</v>
      </c>
      <c r="F216">
        <v>2</v>
      </c>
      <c r="G216">
        <v>4</v>
      </c>
      <c r="H216" t="s">
        <v>93</v>
      </c>
      <c r="I216" t="s">
        <v>256</v>
      </c>
      <c r="J216" t="s">
        <v>34</v>
      </c>
      <c r="L216" t="s">
        <v>30</v>
      </c>
      <c r="M216">
        <v>22</v>
      </c>
      <c r="N216" t="s">
        <v>56</v>
      </c>
      <c r="O216" t="s">
        <v>243</v>
      </c>
      <c r="P216">
        <v>0</v>
      </c>
      <c r="Q216">
        <v>50</v>
      </c>
      <c r="R216" t="s">
        <v>36</v>
      </c>
      <c r="S216">
        <v>12</v>
      </c>
      <c r="T216">
        <v>12</v>
      </c>
      <c r="U216" t="s">
        <v>112</v>
      </c>
      <c r="V216" t="s">
        <v>37</v>
      </c>
      <c r="W216">
        <v>450</v>
      </c>
      <c r="X216">
        <v>532</v>
      </c>
      <c r="Y216">
        <v>8.3000000000000007</v>
      </c>
      <c r="Z216">
        <v>500</v>
      </c>
      <c r="AA216">
        <v>2000</v>
      </c>
      <c r="AB216">
        <v>50</v>
      </c>
      <c r="AC216" t="s">
        <v>40</v>
      </c>
    </row>
    <row r="217" spans="1:29" x14ac:dyDescent="0.25">
      <c r="A217" t="str">
        <f>"Raman_"&amp;E217&amp;"_"&amp;B217&amp;"_"&amp;AC217&amp;"_"&amp;TEXT(F217, "000")&amp;"_"&amp;TEXT(G217, "000")&amp;"_"&amp;H217&amp;".csv"</f>
        <v>Raman_EG_Pavlovagyrans_raw_002_004_E10.csv</v>
      </c>
      <c r="B217" t="s">
        <v>255</v>
      </c>
      <c r="C217" t="s">
        <v>30</v>
      </c>
      <c r="D217" t="s">
        <v>30</v>
      </c>
      <c r="E217" t="s">
        <v>31</v>
      </c>
      <c r="F217">
        <v>2</v>
      </c>
      <c r="G217">
        <v>4</v>
      </c>
      <c r="H217" t="s">
        <v>95</v>
      </c>
      <c r="I217" t="s">
        <v>256</v>
      </c>
      <c r="J217" t="s">
        <v>34</v>
      </c>
      <c r="L217" t="s">
        <v>30</v>
      </c>
      <c r="M217">
        <v>22</v>
      </c>
      <c r="N217" t="s">
        <v>96</v>
      </c>
      <c r="O217" t="s">
        <v>243</v>
      </c>
      <c r="P217">
        <v>0</v>
      </c>
      <c r="Q217">
        <v>50</v>
      </c>
      <c r="R217" t="s">
        <v>36</v>
      </c>
      <c r="S217">
        <v>12</v>
      </c>
      <c r="T217">
        <v>12</v>
      </c>
      <c r="U217" t="s">
        <v>112</v>
      </c>
      <c r="V217" t="s">
        <v>37</v>
      </c>
      <c r="W217">
        <v>450</v>
      </c>
      <c r="X217">
        <v>532</v>
      </c>
      <c r="Y217">
        <v>8.3000000000000007</v>
      </c>
      <c r="Z217">
        <v>500</v>
      </c>
      <c r="AA217">
        <v>2000</v>
      </c>
      <c r="AB217">
        <v>50</v>
      </c>
      <c r="AC217" t="s">
        <v>40</v>
      </c>
    </row>
    <row r="218" spans="1:29" x14ac:dyDescent="0.25">
      <c r="A218" t="str">
        <f>"Raman_"&amp;E218&amp;"_"&amp;B218&amp;"_"&amp;AC218&amp;"_"&amp;TEXT(F218, "000")&amp;"_"&amp;TEXT(G218, "000")&amp;"_"&amp;H218&amp;".csv"</f>
        <v>Raman_EG_Pavlovagyrans_raw_002_004_E11.csv</v>
      </c>
      <c r="B218" t="s">
        <v>255</v>
      </c>
      <c r="C218" t="s">
        <v>30</v>
      </c>
      <c r="D218" t="s">
        <v>30</v>
      </c>
      <c r="E218" t="s">
        <v>31</v>
      </c>
      <c r="F218">
        <v>2</v>
      </c>
      <c r="G218">
        <v>4</v>
      </c>
      <c r="H218" t="s">
        <v>97</v>
      </c>
      <c r="I218" t="s">
        <v>256</v>
      </c>
      <c r="J218" t="s">
        <v>34</v>
      </c>
      <c r="L218" t="s">
        <v>30</v>
      </c>
      <c r="M218">
        <v>22</v>
      </c>
      <c r="N218" t="s">
        <v>58</v>
      </c>
      <c r="O218" t="s">
        <v>243</v>
      </c>
      <c r="P218">
        <v>0</v>
      </c>
      <c r="Q218">
        <v>50</v>
      </c>
      <c r="R218" t="s">
        <v>36</v>
      </c>
      <c r="S218">
        <v>12</v>
      </c>
      <c r="T218">
        <v>12</v>
      </c>
      <c r="U218" t="s">
        <v>112</v>
      </c>
      <c r="V218" t="s">
        <v>37</v>
      </c>
      <c r="W218">
        <v>450</v>
      </c>
      <c r="X218">
        <v>532</v>
      </c>
      <c r="Y218">
        <v>8.3000000000000007</v>
      </c>
      <c r="Z218">
        <v>500</v>
      </c>
      <c r="AA218">
        <v>2000</v>
      </c>
      <c r="AB218">
        <v>50</v>
      </c>
      <c r="AC218" t="s">
        <v>40</v>
      </c>
    </row>
    <row r="219" spans="1:29" x14ac:dyDescent="0.25">
      <c r="A219" t="str">
        <f>"Raman_"&amp;E219&amp;"_"&amp;B219&amp;"_"&amp;AC219&amp;"_"&amp;TEXT(F219, "000")&amp;"_"&amp;TEXT(G219, "000")&amp;"_"&amp;H219&amp;".csv"</f>
        <v>Raman_EG_Pavlovagyrans_raw_002_004_F1.csv</v>
      </c>
      <c r="B219" t="s">
        <v>255</v>
      </c>
      <c r="C219" t="s">
        <v>30</v>
      </c>
      <c r="D219" t="s">
        <v>30</v>
      </c>
      <c r="E219" t="s">
        <v>31</v>
      </c>
      <c r="F219">
        <v>2</v>
      </c>
      <c r="G219">
        <v>4</v>
      </c>
      <c r="H219" t="s">
        <v>164</v>
      </c>
      <c r="I219" t="s">
        <v>256</v>
      </c>
      <c r="J219" t="s">
        <v>34</v>
      </c>
      <c r="L219" t="s">
        <v>30</v>
      </c>
      <c r="M219">
        <v>22</v>
      </c>
      <c r="N219" t="s">
        <v>48</v>
      </c>
      <c r="O219" t="s">
        <v>243</v>
      </c>
      <c r="P219">
        <v>0</v>
      </c>
      <c r="Q219">
        <v>50</v>
      </c>
      <c r="R219" t="s">
        <v>36</v>
      </c>
      <c r="S219">
        <v>12</v>
      </c>
      <c r="T219">
        <v>12</v>
      </c>
      <c r="U219" t="s">
        <v>112</v>
      </c>
      <c r="V219" t="s">
        <v>37</v>
      </c>
      <c r="W219">
        <v>450</v>
      </c>
      <c r="X219">
        <v>532</v>
      </c>
      <c r="Y219">
        <v>8.3000000000000007</v>
      </c>
      <c r="Z219">
        <v>500</v>
      </c>
      <c r="AA219">
        <v>2000</v>
      </c>
      <c r="AB219">
        <v>50</v>
      </c>
      <c r="AC219" t="s">
        <v>40</v>
      </c>
    </row>
    <row r="220" spans="1:29" x14ac:dyDescent="0.25">
      <c r="A220" t="str">
        <f>"Raman_"&amp;E220&amp;"_"&amp;B220&amp;"_"&amp;AC220&amp;"_"&amp;TEXT(F220, "000")&amp;"_"&amp;TEXT(G220, "000")&amp;"_"&amp;H220&amp;".csv"</f>
        <v>Raman_EG_Pavlovagyrans_raw_002_004_F2.csv</v>
      </c>
      <c r="B220" t="s">
        <v>255</v>
      </c>
      <c r="C220" t="s">
        <v>30</v>
      </c>
      <c r="D220" t="s">
        <v>30</v>
      </c>
      <c r="E220" t="s">
        <v>31</v>
      </c>
      <c r="F220">
        <v>2</v>
      </c>
      <c r="G220">
        <v>4</v>
      </c>
      <c r="H220" t="s">
        <v>98</v>
      </c>
      <c r="I220" t="s">
        <v>256</v>
      </c>
      <c r="J220" t="s">
        <v>34</v>
      </c>
      <c r="L220" t="s">
        <v>30</v>
      </c>
      <c r="M220">
        <v>22</v>
      </c>
      <c r="N220" t="s">
        <v>88</v>
      </c>
      <c r="O220" t="s">
        <v>243</v>
      </c>
      <c r="P220">
        <v>0</v>
      </c>
      <c r="Q220">
        <v>50</v>
      </c>
      <c r="R220" t="s">
        <v>36</v>
      </c>
      <c r="S220">
        <v>12</v>
      </c>
      <c r="T220">
        <v>12</v>
      </c>
      <c r="U220" t="s">
        <v>112</v>
      </c>
      <c r="V220" t="s">
        <v>37</v>
      </c>
      <c r="W220">
        <v>450</v>
      </c>
      <c r="X220">
        <v>532</v>
      </c>
      <c r="Y220">
        <v>8.3000000000000007</v>
      </c>
      <c r="Z220">
        <v>500</v>
      </c>
      <c r="AA220">
        <v>2000</v>
      </c>
      <c r="AB220">
        <v>50</v>
      </c>
      <c r="AC220" t="s">
        <v>40</v>
      </c>
    </row>
    <row r="221" spans="1:29" x14ac:dyDescent="0.25">
      <c r="A221" t="str">
        <f>"Raman_"&amp;E221&amp;"_"&amp;B221&amp;"_"&amp;AC221&amp;"_"&amp;TEXT(F221, "000")&amp;"_"&amp;TEXT(G221, "000")&amp;"_"&amp;H221&amp;".csv"</f>
        <v>Raman_EG_Pavlovagyrans_raw_002_004_F3.csv</v>
      </c>
      <c r="B221" t="s">
        <v>255</v>
      </c>
      <c r="C221" t="s">
        <v>30</v>
      </c>
      <c r="D221" t="s">
        <v>30</v>
      </c>
      <c r="E221" t="s">
        <v>31</v>
      </c>
      <c r="F221">
        <v>2</v>
      </c>
      <c r="G221">
        <v>4</v>
      </c>
      <c r="H221" t="s">
        <v>99</v>
      </c>
      <c r="I221" t="s">
        <v>256</v>
      </c>
      <c r="J221" t="s">
        <v>34</v>
      </c>
      <c r="L221" t="s">
        <v>30</v>
      </c>
      <c r="M221">
        <v>22</v>
      </c>
      <c r="N221" t="s">
        <v>50</v>
      </c>
      <c r="O221" t="s">
        <v>243</v>
      </c>
      <c r="P221">
        <v>0</v>
      </c>
      <c r="Q221">
        <v>50</v>
      </c>
      <c r="R221" t="s">
        <v>36</v>
      </c>
      <c r="S221">
        <v>12</v>
      </c>
      <c r="T221">
        <v>12</v>
      </c>
      <c r="U221" t="s">
        <v>112</v>
      </c>
      <c r="V221" t="s">
        <v>37</v>
      </c>
      <c r="W221">
        <v>450</v>
      </c>
      <c r="X221">
        <v>532</v>
      </c>
      <c r="Y221">
        <v>8.3000000000000007</v>
      </c>
      <c r="Z221">
        <v>500</v>
      </c>
      <c r="AA221">
        <v>2000</v>
      </c>
      <c r="AB221">
        <v>50</v>
      </c>
      <c r="AC221" t="s">
        <v>40</v>
      </c>
    </row>
    <row r="222" spans="1:29" x14ac:dyDescent="0.25">
      <c r="A222" t="str">
        <f>"Raman_"&amp;E222&amp;"_"&amp;B222&amp;"_"&amp;AC222&amp;"_"&amp;TEXT(F222, "000")&amp;"_"&amp;TEXT(G222, "000")&amp;"_"&amp;H222&amp;".csv"</f>
        <v>Raman_EG_Pavlovagyrans_raw_002_004_F4.csv</v>
      </c>
      <c r="B222" t="s">
        <v>255</v>
      </c>
      <c r="C222" t="s">
        <v>30</v>
      </c>
      <c r="D222" t="s">
        <v>30</v>
      </c>
      <c r="E222" t="s">
        <v>31</v>
      </c>
      <c r="F222">
        <v>2</v>
      </c>
      <c r="G222">
        <v>4</v>
      </c>
      <c r="H222" t="s">
        <v>100</v>
      </c>
      <c r="I222" t="s">
        <v>256</v>
      </c>
      <c r="J222" t="s">
        <v>34</v>
      </c>
      <c r="L222" t="s">
        <v>30</v>
      </c>
      <c r="M222">
        <v>22</v>
      </c>
      <c r="N222" t="s">
        <v>90</v>
      </c>
      <c r="O222" t="s">
        <v>243</v>
      </c>
      <c r="P222">
        <v>0</v>
      </c>
      <c r="Q222">
        <v>50</v>
      </c>
      <c r="R222" t="s">
        <v>36</v>
      </c>
      <c r="S222">
        <v>12</v>
      </c>
      <c r="T222">
        <v>12</v>
      </c>
      <c r="U222" t="s">
        <v>112</v>
      </c>
      <c r="V222" t="s">
        <v>37</v>
      </c>
      <c r="W222">
        <v>450</v>
      </c>
      <c r="X222">
        <v>532</v>
      </c>
      <c r="Y222">
        <v>8.3000000000000007</v>
      </c>
      <c r="Z222">
        <v>500</v>
      </c>
      <c r="AA222">
        <v>2000</v>
      </c>
      <c r="AB222">
        <v>50</v>
      </c>
      <c r="AC222" t="s">
        <v>40</v>
      </c>
    </row>
    <row r="223" spans="1:29" x14ac:dyDescent="0.25">
      <c r="A223" t="str">
        <f>"Raman_"&amp;E223&amp;"_"&amp;B223&amp;"_"&amp;AC223&amp;"_"&amp;TEXT(F223, "000")&amp;"_"&amp;TEXT(G223, "000")&amp;"_"&amp;H223&amp;".csv"</f>
        <v>Raman_EG_Pavlovagyrans_raw_002_004_F5.csv</v>
      </c>
      <c r="B223" t="s">
        <v>255</v>
      </c>
      <c r="C223" t="s">
        <v>30</v>
      </c>
      <c r="D223" t="s">
        <v>30</v>
      </c>
      <c r="E223" t="s">
        <v>31</v>
      </c>
      <c r="F223">
        <v>2</v>
      </c>
      <c r="G223">
        <v>4</v>
      </c>
      <c r="H223" t="s">
        <v>101</v>
      </c>
      <c r="I223" t="s">
        <v>256</v>
      </c>
      <c r="J223" t="s">
        <v>34</v>
      </c>
      <c r="L223" t="s">
        <v>30</v>
      </c>
      <c r="M223">
        <v>22</v>
      </c>
      <c r="N223" t="s">
        <v>52</v>
      </c>
      <c r="O223" t="s">
        <v>243</v>
      </c>
      <c r="P223">
        <v>0</v>
      </c>
      <c r="Q223">
        <v>50</v>
      </c>
      <c r="R223" t="s">
        <v>36</v>
      </c>
      <c r="S223">
        <v>12</v>
      </c>
      <c r="T223">
        <v>12</v>
      </c>
      <c r="U223" t="s">
        <v>112</v>
      </c>
      <c r="V223" t="s">
        <v>37</v>
      </c>
      <c r="W223">
        <v>450</v>
      </c>
      <c r="X223">
        <v>532</v>
      </c>
      <c r="Y223">
        <v>8.3000000000000007</v>
      </c>
      <c r="Z223">
        <v>500</v>
      </c>
      <c r="AA223">
        <v>2000</v>
      </c>
      <c r="AB223">
        <v>50</v>
      </c>
      <c r="AC223" t="s">
        <v>40</v>
      </c>
    </row>
    <row r="224" spans="1:29" x14ac:dyDescent="0.25">
      <c r="A224" t="str">
        <f>"Raman_"&amp;E224&amp;"_"&amp;B224&amp;"_"&amp;AC224&amp;"_"&amp;TEXT(F224, "000")&amp;"_"&amp;TEXT(G224, "000")&amp;"_"&amp;H224&amp;".csv"</f>
        <v>Raman_EG_Pavlovagyrans_raw_002_004_F6.csv</v>
      </c>
      <c r="B224" t="s">
        <v>255</v>
      </c>
      <c r="C224" t="s">
        <v>30</v>
      </c>
      <c r="D224" t="s">
        <v>30</v>
      </c>
      <c r="E224" t="s">
        <v>31</v>
      </c>
      <c r="F224">
        <v>2</v>
      </c>
      <c r="G224">
        <v>4</v>
      </c>
      <c r="H224" t="s">
        <v>102</v>
      </c>
      <c r="I224" t="s">
        <v>256</v>
      </c>
      <c r="J224" t="s">
        <v>34</v>
      </c>
      <c r="L224" t="s">
        <v>30</v>
      </c>
      <c r="M224">
        <v>22</v>
      </c>
      <c r="N224" t="s">
        <v>92</v>
      </c>
      <c r="O224" t="s">
        <v>243</v>
      </c>
      <c r="P224">
        <v>0</v>
      </c>
      <c r="Q224">
        <v>50</v>
      </c>
      <c r="R224" t="s">
        <v>36</v>
      </c>
      <c r="S224">
        <v>12</v>
      </c>
      <c r="T224">
        <v>12</v>
      </c>
      <c r="U224" t="s">
        <v>112</v>
      </c>
      <c r="V224" t="s">
        <v>37</v>
      </c>
      <c r="W224">
        <v>450</v>
      </c>
      <c r="X224">
        <v>532</v>
      </c>
      <c r="Y224">
        <v>8.3000000000000007</v>
      </c>
      <c r="Z224">
        <v>500</v>
      </c>
      <c r="AA224">
        <v>2000</v>
      </c>
      <c r="AB224">
        <v>50</v>
      </c>
      <c r="AC224" t="s">
        <v>40</v>
      </c>
    </row>
    <row r="225" spans="1:29" x14ac:dyDescent="0.25">
      <c r="A225" t="str">
        <f>"Raman_"&amp;E225&amp;"_"&amp;B225&amp;"_"&amp;AC225&amp;"_"&amp;TEXT(F225, "000")&amp;"_"&amp;TEXT(G225, "000")&amp;"_"&amp;H225&amp;".csv"</f>
        <v>Raman_EG_Pavlovagyrans_raw_002_004_F7.csv</v>
      </c>
      <c r="B225" t="s">
        <v>255</v>
      </c>
      <c r="C225" t="s">
        <v>30</v>
      </c>
      <c r="D225" t="s">
        <v>30</v>
      </c>
      <c r="E225" t="s">
        <v>31</v>
      </c>
      <c r="F225">
        <v>2</v>
      </c>
      <c r="G225">
        <v>4</v>
      </c>
      <c r="H225" t="s">
        <v>103</v>
      </c>
      <c r="I225" t="s">
        <v>256</v>
      </c>
      <c r="J225" t="s">
        <v>34</v>
      </c>
      <c r="L225" t="s">
        <v>30</v>
      </c>
      <c r="M225">
        <v>22</v>
      </c>
      <c r="N225" t="s">
        <v>54</v>
      </c>
      <c r="O225" t="s">
        <v>243</v>
      </c>
      <c r="P225">
        <v>0</v>
      </c>
      <c r="Q225">
        <v>50</v>
      </c>
      <c r="R225" t="s">
        <v>36</v>
      </c>
      <c r="S225">
        <v>12</v>
      </c>
      <c r="T225">
        <v>12</v>
      </c>
      <c r="U225" t="s">
        <v>112</v>
      </c>
      <c r="V225" t="s">
        <v>37</v>
      </c>
      <c r="W225">
        <v>450</v>
      </c>
      <c r="X225">
        <v>532</v>
      </c>
      <c r="Y225">
        <v>8.3000000000000007</v>
      </c>
      <c r="Z225">
        <v>500</v>
      </c>
      <c r="AA225">
        <v>2000</v>
      </c>
      <c r="AB225">
        <v>50</v>
      </c>
      <c r="AC225" t="s">
        <v>40</v>
      </c>
    </row>
    <row r="226" spans="1:29" x14ac:dyDescent="0.25">
      <c r="A226" t="str">
        <f>"Raman_"&amp;E226&amp;"_"&amp;B226&amp;"_"&amp;AC226&amp;"_"&amp;TEXT(F226, "000")&amp;"_"&amp;TEXT(G226, "000")&amp;"_"&amp;H226&amp;".csv"</f>
        <v>Raman_EG_Pavlovagyrans_raw_002_004_F8.csv</v>
      </c>
      <c r="B226" t="s">
        <v>255</v>
      </c>
      <c r="C226" t="s">
        <v>30</v>
      </c>
      <c r="D226" t="s">
        <v>30</v>
      </c>
      <c r="E226" t="s">
        <v>31</v>
      </c>
      <c r="F226">
        <v>2</v>
      </c>
      <c r="G226">
        <v>4</v>
      </c>
      <c r="H226" t="s">
        <v>104</v>
      </c>
      <c r="I226" t="s">
        <v>256</v>
      </c>
      <c r="J226" t="s">
        <v>34</v>
      </c>
      <c r="L226" t="s">
        <v>30</v>
      </c>
      <c r="M226">
        <v>22</v>
      </c>
      <c r="N226" t="s">
        <v>94</v>
      </c>
      <c r="O226" t="s">
        <v>243</v>
      </c>
      <c r="P226">
        <v>0</v>
      </c>
      <c r="Q226">
        <v>50</v>
      </c>
      <c r="R226" t="s">
        <v>36</v>
      </c>
      <c r="S226">
        <v>12</v>
      </c>
      <c r="T226">
        <v>12</v>
      </c>
      <c r="U226" t="s">
        <v>112</v>
      </c>
      <c r="V226" t="s">
        <v>37</v>
      </c>
      <c r="W226">
        <v>450</v>
      </c>
      <c r="X226">
        <v>532</v>
      </c>
      <c r="Y226">
        <v>8.3000000000000007</v>
      </c>
      <c r="Z226">
        <v>500</v>
      </c>
      <c r="AA226">
        <v>2000</v>
      </c>
      <c r="AB226">
        <v>50</v>
      </c>
      <c r="AC226" t="s">
        <v>40</v>
      </c>
    </row>
    <row r="227" spans="1:29" x14ac:dyDescent="0.25">
      <c r="A227" t="str">
        <f>"Raman_"&amp;E227&amp;"_"&amp;B227&amp;"_"&amp;AC227&amp;"_"&amp;TEXT(F227, "000")&amp;"_"&amp;TEXT(G227, "000")&amp;"_"&amp;H227&amp;".csv"</f>
        <v>Raman_EG_Pavlovagyrans_raw_002_004_F9.csv</v>
      </c>
      <c r="B227" t="s">
        <v>255</v>
      </c>
      <c r="C227" t="s">
        <v>30</v>
      </c>
      <c r="D227" t="s">
        <v>30</v>
      </c>
      <c r="E227" t="s">
        <v>31</v>
      </c>
      <c r="F227">
        <v>2</v>
      </c>
      <c r="G227">
        <v>4</v>
      </c>
      <c r="H227" t="s">
        <v>105</v>
      </c>
      <c r="I227" t="s">
        <v>256</v>
      </c>
      <c r="J227" t="s">
        <v>34</v>
      </c>
      <c r="L227" t="s">
        <v>30</v>
      </c>
      <c r="M227">
        <v>22</v>
      </c>
      <c r="N227" t="s">
        <v>56</v>
      </c>
      <c r="O227" t="s">
        <v>243</v>
      </c>
      <c r="P227">
        <v>0</v>
      </c>
      <c r="Q227">
        <v>50</v>
      </c>
      <c r="R227" t="s">
        <v>36</v>
      </c>
      <c r="S227">
        <v>12</v>
      </c>
      <c r="T227">
        <v>12</v>
      </c>
      <c r="U227" t="s">
        <v>112</v>
      </c>
      <c r="V227" t="s">
        <v>37</v>
      </c>
      <c r="W227">
        <v>450</v>
      </c>
      <c r="X227">
        <v>532</v>
      </c>
      <c r="Y227">
        <v>8.3000000000000007</v>
      </c>
      <c r="Z227">
        <v>500</v>
      </c>
      <c r="AA227">
        <v>2000</v>
      </c>
      <c r="AB227">
        <v>50</v>
      </c>
      <c r="AC227" t="s">
        <v>40</v>
      </c>
    </row>
    <row r="228" spans="1:29" x14ac:dyDescent="0.25">
      <c r="A228" t="str">
        <f>"Raman_"&amp;E228&amp;"_"&amp;B228&amp;"_"&amp;AC228&amp;"_"&amp;TEXT(F228, "000")&amp;"_"&amp;TEXT(G228, "000")&amp;"_"&amp;H228&amp;".csv"</f>
        <v>Raman_EG_Pavlovagyrans_raw_002_004_F10.csv</v>
      </c>
      <c r="B228" t="s">
        <v>255</v>
      </c>
      <c r="C228" t="s">
        <v>30</v>
      </c>
      <c r="D228" t="s">
        <v>30</v>
      </c>
      <c r="E228" t="s">
        <v>31</v>
      </c>
      <c r="F228">
        <v>2</v>
      </c>
      <c r="G228">
        <v>4</v>
      </c>
      <c r="H228" t="s">
        <v>106</v>
      </c>
      <c r="I228" t="s">
        <v>256</v>
      </c>
      <c r="J228" t="s">
        <v>34</v>
      </c>
      <c r="L228" t="s">
        <v>30</v>
      </c>
      <c r="M228">
        <v>22</v>
      </c>
      <c r="N228" t="s">
        <v>96</v>
      </c>
      <c r="O228" t="s">
        <v>243</v>
      </c>
      <c r="P228">
        <v>0</v>
      </c>
      <c r="Q228">
        <v>50</v>
      </c>
      <c r="R228" t="s">
        <v>36</v>
      </c>
      <c r="S228">
        <v>12</v>
      </c>
      <c r="T228">
        <v>12</v>
      </c>
      <c r="U228" t="s">
        <v>112</v>
      </c>
      <c r="V228" t="s">
        <v>37</v>
      </c>
      <c r="W228">
        <v>450</v>
      </c>
      <c r="X228">
        <v>532</v>
      </c>
      <c r="Y228">
        <v>8.3000000000000007</v>
      </c>
      <c r="Z228">
        <v>500</v>
      </c>
      <c r="AA228">
        <v>2000</v>
      </c>
      <c r="AB228">
        <v>50</v>
      </c>
      <c r="AC228" t="s">
        <v>40</v>
      </c>
    </row>
    <row r="229" spans="1:29" x14ac:dyDescent="0.25">
      <c r="A229" t="str">
        <f>"Raman_"&amp;E229&amp;"_"&amp;B229&amp;"_"&amp;AC229&amp;"_"&amp;TEXT(F229, "000")&amp;"_"&amp;TEXT(G229, "000")&amp;"_"&amp;H229&amp;".csv"</f>
        <v>Raman_EG_Pavlovagyrans_raw_002_004_F11.csv</v>
      </c>
      <c r="B229" t="s">
        <v>255</v>
      </c>
      <c r="C229" t="s">
        <v>30</v>
      </c>
      <c r="D229" t="s">
        <v>30</v>
      </c>
      <c r="E229" t="s">
        <v>31</v>
      </c>
      <c r="F229">
        <v>2</v>
      </c>
      <c r="G229">
        <v>4</v>
      </c>
      <c r="H229" t="s">
        <v>107</v>
      </c>
      <c r="I229" t="s">
        <v>256</v>
      </c>
      <c r="J229" t="s">
        <v>34</v>
      </c>
      <c r="L229" t="s">
        <v>30</v>
      </c>
      <c r="M229">
        <v>22</v>
      </c>
      <c r="N229" t="s">
        <v>58</v>
      </c>
      <c r="O229" t="s">
        <v>243</v>
      </c>
      <c r="P229">
        <v>0</v>
      </c>
      <c r="Q229">
        <v>50</v>
      </c>
      <c r="R229" t="s">
        <v>36</v>
      </c>
      <c r="S229">
        <v>12</v>
      </c>
      <c r="T229">
        <v>12</v>
      </c>
      <c r="U229" t="s">
        <v>112</v>
      </c>
      <c r="V229" t="s">
        <v>37</v>
      </c>
      <c r="W229">
        <v>450</v>
      </c>
      <c r="X229">
        <v>532</v>
      </c>
      <c r="Y229">
        <v>8.3000000000000007</v>
      </c>
      <c r="Z229">
        <v>500</v>
      </c>
      <c r="AA229">
        <v>2000</v>
      </c>
      <c r="AB229">
        <v>50</v>
      </c>
      <c r="AC229" t="s">
        <v>40</v>
      </c>
    </row>
    <row r="230" spans="1:29" x14ac:dyDescent="0.25">
      <c r="A230" t="str">
        <f>"Raman_"&amp;E230&amp;"_"&amp;B230&amp;"_"&amp;AC230&amp;"_"&amp;TEXT(F230, "000")&amp;"_"&amp;TEXT(G230, "000")&amp;"_"&amp;H230&amp;".csv"</f>
        <v>Raman_EG_Pavlovagyrans_raw_002_005_A1.csv</v>
      </c>
      <c r="B230" t="s">
        <v>255</v>
      </c>
      <c r="C230" t="s">
        <v>30</v>
      </c>
      <c r="D230" t="s">
        <v>30</v>
      </c>
      <c r="E230" t="s">
        <v>31</v>
      </c>
      <c r="F230">
        <v>2</v>
      </c>
      <c r="G230">
        <v>5</v>
      </c>
      <c r="H230" t="s">
        <v>110</v>
      </c>
      <c r="I230" t="s">
        <v>256</v>
      </c>
      <c r="J230" t="s">
        <v>34</v>
      </c>
      <c r="L230" t="s">
        <v>30</v>
      </c>
      <c r="M230">
        <v>22</v>
      </c>
      <c r="N230" t="s">
        <v>35</v>
      </c>
      <c r="O230" t="s">
        <v>242</v>
      </c>
      <c r="P230">
        <v>336</v>
      </c>
      <c r="Q230">
        <v>100</v>
      </c>
      <c r="R230" t="s">
        <v>36</v>
      </c>
      <c r="S230">
        <v>12</v>
      </c>
      <c r="T230">
        <v>12</v>
      </c>
      <c r="U230" t="s">
        <v>112</v>
      </c>
      <c r="V230" t="s">
        <v>37</v>
      </c>
      <c r="W230">
        <v>450</v>
      </c>
      <c r="X230">
        <v>532</v>
      </c>
      <c r="Y230">
        <v>8.3000000000000007</v>
      </c>
      <c r="Z230">
        <v>500</v>
      </c>
      <c r="AA230">
        <v>2000</v>
      </c>
      <c r="AB230">
        <v>50</v>
      </c>
      <c r="AC230" t="s">
        <v>40</v>
      </c>
    </row>
    <row r="231" spans="1:29" x14ac:dyDescent="0.25">
      <c r="A231" t="str">
        <f>"Raman_"&amp;E231&amp;"_"&amp;B231&amp;"_"&amp;AC231&amp;"_"&amp;TEXT(F231, "000")&amp;"_"&amp;TEXT(G231, "000")&amp;"_"&amp;H231&amp;".csv"</f>
        <v>Raman_EG_Pavlovagyrans_raw_002_005_A2.csv</v>
      </c>
      <c r="B231" t="s">
        <v>255</v>
      </c>
      <c r="C231" t="s">
        <v>30</v>
      </c>
      <c r="D231" t="s">
        <v>30</v>
      </c>
      <c r="E231" t="s">
        <v>31</v>
      </c>
      <c r="F231">
        <v>2</v>
      </c>
      <c r="G231">
        <v>5</v>
      </c>
      <c r="H231" t="s">
        <v>114</v>
      </c>
      <c r="I231" t="s">
        <v>256</v>
      </c>
      <c r="J231" t="s">
        <v>34</v>
      </c>
      <c r="L231" t="s">
        <v>30</v>
      </c>
      <c r="M231">
        <v>22</v>
      </c>
      <c r="N231" t="s">
        <v>80</v>
      </c>
      <c r="O231" t="s">
        <v>242</v>
      </c>
      <c r="P231">
        <v>336</v>
      </c>
      <c r="Q231">
        <v>100</v>
      </c>
      <c r="R231" t="s">
        <v>36</v>
      </c>
      <c r="S231">
        <v>12</v>
      </c>
      <c r="T231">
        <v>12</v>
      </c>
      <c r="U231" t="s">
        <v>112</v>
      </c>
      <c r="V231" t="s">
        <v>37</v>
      </c>
      <c r="W231">
        <v>450</v>
      </c>
      <c r="X231">
        <v>532</v>
      </c>
      <c r="Y231">
        <v>8.3000000000000007</v>
      </c>
      <c r="Z231">
        <v>500</v>
      </c>
      <c r="AA231">
        <v>2000</v>
      </c>
      <c r="AB231">
        <v>50</v>
      </c>
      <c r="AC231" t="s">
        <v>40</v>
      </c>
    </row>
    <row r="232" spans="1:29" x14ac:dyDescent="0.25">
      <c r="A232" t="str">
        <f>"Raman_"&amp;E232&amp;"_"&amp;B232&amp;"_"&amp;AC232&amp;"_"&amp;TEXT(F232, "000")&amp;"_"&amp;TEXT(G232, "000")&amp;"_"&amp;H232&amp;".csv"</f>
        <v>Raman_EG_Pavlovagyrans_raw_002_005_A3.csv</v>
      </c>
      <c r="B232" t="s">
        <v>255</v>
      </c>
      <c r="C232" t="s">
        <v>30</v>
      </c>
      <c r="D232" t="s">
        <v>30</v>
      </c>
      <c r="E232" t="s">
        <v>31</v>
      </c>
      <c r="F232">
        <v>2</v>
      </c>
      <c r="G232">
        <v>5</v>
      </c>
      <c r="H232" t="s">
        <v>116</v>
      </c>
      <c r="I232" t="s">
        <v>256</v>
      </c>
      <c r="J232" t="s">
        <v>34</v>
      </c>
      <c r="L232" t="s">
        <v>30</v>
      </c>
      <c r="M232">
        <v>22</v>
      </c>
      <c r="N232" t="s">
        <v>42</v>
      </c>
      <c r="O232" t="s">
        <v>242</v>
      </c>
      <c r="P232">
        <v>336</v>
      </c>
      <c r="Q232">
        <v>100</v>
      </c>
      <c r="R232" t="s">
        <v>36</v>
      </c>
      <c r="S232">
        <v>12</v>
      </c>
      <c r="T232">
        <v>12</v>
      </c>
      <c r="U232" t="s">
        <v>112</v>
      </c>
      <c r="V232" t="s">
        <v>37</v>
      </c>
      <c r="W232">
        <v>450</v>
      </c>
      <c r="X232">
        <v>532</v>
      </c>
      <c r="Y232">
        <v>8.3000000000000007</v>
      </c>
      <c r="Z232">
        <v>500</v>
      </c>
      <c r="AA232">
        <v>2000</v>
      </c>
      <c r="AB232">
        <v>50</v>
      </c>
      <c r="AC232" t="s">
        <v>40</v>
      </c>
    </row>
    <row r="233" spans="1:29" x14ac:dyDescent="0.25">
      <c r="A233" t="str">
        <f>"Raman_"&amp;E233&amp;"_"&amp;B233&amp;"_"&amp;AC233&amp;"_"&amp;TEXT(F233, "000")&amp;"_"&amp;TEXT(G233, "000")&amp;"_"&amp;H233&amp;".csv"</f>
        <v>Raman_EG_Pavlovagyrans_raw_002_005_A4.csv</v>
      </c>
      <c r="B233" t="s">
        <v>255</v>
      </c>
      <c r="C233" t="s">
        <v>30</v>
      </c>
      <c r="D233" t="s">
        <v>30</v>
      </c>
      <c r="E233" t="s">
        <v>31</v>
      </c>
      <c r="F233">
        <v>2</v>
      </c>
      <c r="G233">
        <v>5</v>
      </c>
      <c r="H233" t="s">
        <v>118</v>
      </c>
      <c r="I233" t="s">
        <v>256</v>
      </c>
      <c r="J233" t="s">
        <v>34</v>
      </c>
      <c r="L233" t="s">
        <v>30</v>
      </c>
      <c r="M233">
        <v>22</v>
      </c>
      <c r="N233" t="s">
        <v>82</v>
      </c>
      <c r="O233" t="s">
        <v>242</v>
      </c>
      <c r="P233">
        <v>336</v>
      </c>
      <c r="Q233">
        <v>100</v>
      </c>
      <c r="R233" t="s">
        <v>36</v>
      </c>
      <c r="S233">
        <v>12</v>
      </c>
      <c r="T233">
        <v>12</v>
      </c>
      <c r="U233" t="s">
        <v>112</v>
      </c>
      <c r="V233" t="s">
        <v>37</v>
      </c>
      <c r="W233">
        <v>450</v>
      </c>
      <c r="X233">
        <v>532</v>
      </c>
      <c r="Y233">
        <v>8.3000000000000007</v>
      </c>
      <c r="Z233">
        <v>500</v>
      </c>
      <c r="AA233">
        <v>2000</v>
      </c>
      <c r="AB233">
        <v>50</v>
      </c>
      <c r="AC233" t="s">
        <v>40</v>
      </c>
    </row>
    <row r="234" spans="1:29" x14ac:dyDescent="0.25">
      <c r="A234" t="str">
        <f>"Raman_"&amp;E234&amp;"_"&amp;B234&amp;"_"&amp;AC234&amp;"_"&amp;TEXT(F234, "000")&amp;"_"&amp;TEXT(G234, "000")&amp;"_"&amp;H234&amp;".csv"</f>
        <v>Raman_EG_Pavlovagyrans_raw_002_005_A5.csv</v>
      </c>
      <c r="B234" t="s">
        <v>255</v>
      </c>
      <c r="C234" t="s">
        <v>30</v>
      </c>
      <c r="D234" t="s">
        <v>30</v>
      </c>
      <c r="E234" t="s">
        <v>31</v>
      </c>
      <c r="F234">
        <v>2</v>
      </c>
      <c r="G234">
        <v>5</v>
      </c>
      <c r="H234" t="s">
        <v>120</v>
      </c>
      <c r="I234" t="s">
        <v>256</v>
      </c>
      <c r="J234" t="s">
        <v>34</v>
      </c>
      <c r="L234" t="s">
        <v>30</v>
      </c>
      <c r="M234">
        <v>22</v>
      </c>
      <c r="N234" t="s">
        <v>44</v>
      </c>
      <c r="O234" t="s">
        <v>242</v>
      </c>
      <c r="P234">
        <v>336</v>
      </c>
      <c r="Q234">
        <v>100</v>
      </c>
      <c r="R234" t="s">
        <v>36</v>
      </c>
      <c r="S234">
        <v>12</v>
      </c>
      <c r="T234">
        <v>12</v>
      </c>
      <c r="U234" t="s">
        <v>112</v>
      </c>
      <c r="V234" t="s">
        <v>37</v>
      </c>
      <c r="W234">
        <v>450</v>
      </c>
      <c r="X234">
        <v>532</v>
      </c>
      <c r="Y234">
        <v>8.3000000000000007</v>
      </c>
      <c r="Z234">
        <v>500</v>
      </c>
      <c r="AA234">
        <v>2000</v>
      </c>
      <c r="AB234">
        <v>50</v>
      </c>
      <c r="AC234" t="s">
        <v>40</v>
      </c>
    </row>
    <row r="235" spans="1:29" x14ac:dyDescent="0.25">
      <c r="A235" t="str">
        <f>"Raman_"&amp;E235&amp;"_"&amp;B235&amp;"_"&amp;AC235&amp;"_"&amp;TEXT(F235, "000")&amp;"_"&amp;TEXT(G235, "000")&amp;"_"&amp;H235&amp;".csv"</f>
        <v>Raman_EG_Pavlovagyrans_raw_002_005_A6.csv</v>
      </c>
      <c r="B235" t="s">
        <v>255</v>
      </c>
      <c r="C235" t="s">
        <v>30</v>
      </c>
      <c r="D235" t="s">
        <v>30</v>
      </c>
      <c r="E235" t="s">
        <v>31</v>
      </c>
      <c r="F235">
        <v>2</v>
      </c>
      <c r="G235">
        <v>5</v>
      </c>
      <c r="H235" t="s">
        <v>122</v>
      </c>
      <c r="I235" t="s">
        <v>256</v>
      </c>
      <c r="J235" t="s">
        <v>34</v>
      </c>
      <c r="L235" t="s">
        <v>30</v>
      </c>
      <c r="M235">
        <v>22</v>
      </c>
      <c r="N235" t="s">
        <v>84</v>
      </c>
      <c r="O235" t="s">
        <v>242</v>
      </c>
      <c r="P235">
        <v>336</v>
      </c>
      <c r="Q235">
        <v>100</v>
      </c>
      <c r="R235" t="s">
        <v>36</v>
      </c>
      <c r="S235">
        <v>12</v>
      </c>
      <c r="T235">
        <v>12</v>
      </c>
      <c r="U235" t="s">
        <v>112</v>
      </c>
      <c r="V235" t="s">
        <v>37</v>
      </c>
      <c r="W235">
        <v>450</v>
      </c>
      <c r="X235">
        <v>532</v>
      </c>
      <c r="Y235">
        <v>8.3000000000000007</v>
      </c>
      <c r="Z235">
        <v>500</v>
      </c>
      <c r="AA235">
        <v>2000</v>
      </c>
      <c r="AB235">
        <v>50</v>
      </c>
      <c r="AC235" t="s">
        <v>40</v>
      </c>
    </row>
    <row r="236" spans="1:29" x14ac:dyDescent="0.25">
      <c r="A236" t="str">
        <f>"Raman_"&amp;E236&amp;"_"&amp;B236&amp;"_"&amp;AC236&amp;"_"&amp;TEXT(F236, "000")&amp;"_"&amp;TEXT(G236, "000")&amp;"_"&amp;H236&amp;".csv"</f>
        <v>Raman_EG_Pavlovagyrans_raw_002_005_A7.csv</v>
      </c>
      <c r="B236" t="s">
        <v>255</v>
      </c>
      <c r="C236" t="s">
        <v>30</v>
      </c>
      <c r="D236" t="s">
        <v>30</v>
      </c>
      <c r="E236" t="s">
        <v>31</v>
      </c>
      <c r="F236">
        <v>2</v>
      </c>
      <c r="G236">
        <v>5</v>
      </c>
      <c r="H236" t="s">
        <v>124</v>
      </c>
      <c r="I236" t="s">
        <v>256</v>
      </c>
      <c r="J236" t="s">
        <v>34</v>
      </c>
      <c r="L236" t="s">
        <v>30</v>
      </c>
      <c r="M236">
        <v>22</v>
      </c>
      <c r="N236" t="s">
        <v>46</v>
      </c>
      <c r="O236" t="s">
        <v>242</v>
      </c>
      <c r="P236">
        <v>336</v>
      </c>
      <c r="Q236">
        <v>100</v>
      </c>
      <c r="R236" t="s">
        <v>36</v>
      </c>
      <c r="S236">
        <v>12</v>
      </c>
      <c r="T236">
        <v>12</v>
      </c>
      <c r="U236" t="s">
        <v>112</v>
      </c>
      <c r="V236" t="s">
        <v>37</v>
      </c>
      <c r="W236">
        <v>450</v>
      </c>
      <c r="X236">
        <v>532</v>
      </c>
      <c r="Y236">
        <v>8.3000000000000007</v>
      </c>
      <c r="Z236">
        <v>500</v>
      </c>
      <c r="AA236">
        <v>2000</v>
      </c>
      <c r="AB236">
        <v>50</v>
      </c>
      <c r="AC236" t="s">
        <v>40</v>
      </c>
    </row>
    <row r="237" spans="1:29" x14ac:dyDescent="0.25">
      <c r="A237" t="str">
        <f>"Raman_"&amp;E237&amp;"_"&amp;B237&amp;"_"&amp;AC237&amp;"_"&amp;TEXT(F237, "000")&amp;"_"&amp;TEXT(G237, "000")&amp;"_"&amp;H237&amp;".csv"</f>
        <v>Raman_EG_Pavlovagyrans_raw_002_005_A8.csv</v>
      </c>
      <c r="B237" t="s">
        <v>255</v>
      </c>
      <c r="C237" t="s">
        <v>30</v>
      </c>
      <c r="D237" t="s">
        <v>30</v>
      </c>
      <c r="E237" t="s">
        <v>31</v>
      </c>
      <c r="F237">
        <v>2</v>
      </c>
      <c r="G237">
        <v>5</v>
      </c>
      <c r="H237" t="s">
        <v>126</v>
      </c>
      <c r="I237" t="s">
        <v>256</v>
      </c>
      <c r="J237" t="s">
        <v>34</v>
      </c>
      <c r="L237" t="s">
        <v>30</v>
      </c>
      <c r="M237">
        <v>22</v>
      </c>
      <c r="N237" t="s">
        <v>86</v>
      </c>
      <c r="O237" t="s">
        <v>242</v>
      </c>
      <c r="P237">
        <v>336</v>
      </c>
      <c r="Q237">
        <v>100</v>
      </c>
      <c r="R237" t="s">
        <v>36</v>
      </c>
      <c r="S237">
        <v>12</v>
      </c>
      <c r="T237">
        <v>12</v>
      </c>
      <c r="U237" t="s">
        <v>112</v>
      </c>
      <c r="V237" t="s">
        <v>37</v>
      </c>
      <c r="W237">
        <v>450</v>
      </c>
      <c r="X237">
        <v>532</v>
      </c>
      <c r="Y237">
        <v>8.3000000000000007</v>
      </c>
      <c r="Z237">
        <v>500</v>
      </c>
      <c r="AA237">
        <v>2000</v>
      </c>
      <c r="AB237">
        <v>50</v>
      </c>
      <c r="AC237" t="s">
        <v>40</v>
      </c>
    </row>
    <row r="238" spans="1:29" x14ac:dyDescent="0.25">
      <c r="A238" t="str">
        <f>"Raman_"&amp;E238&amp;"_"&amp;B238&amp;"_"&amp;AC238&amp;"_"&amp;TEXT(F238, "000")&amp;"_"&amp;TEXT(G238, "000")&amp;"_"&amp;H238&amp;".csv"</f>
        <v>Raman_EG_Pavlovagyrans_raw_002_005_B1.csv</v>
      </c>
      <c r="B238" t="s">
        <v>255</v>
      </c>
      <c r="C238" t="s">
        <v>30</v>
      </c>
      <c r="D238" t="s">
        <v>30</v>
      </c>
      <c r="E238" t="s">
        <v>31</v>
      </c>
      <c r="F238">
        <v>2</v>
      </c>
      <c r="G238">
        <v>5</v>
      </c>
      <c r="H238" t="s">
        <v>128</v>
      </c>
      <c r="I238" t="s">
        <v>256</v>
      </c>
      <c r="J238" t="s">
        <v>34</v>
      </c>
      <c r="L238" t="s">
        <v>30</v>
      </c>
      <c r="M238">
        <v>22</v>
      </c>
      <c r="N238" t="s">
        <v>35</v>
      </c>
      <c r="O238" t="s">
        <v>242</v>
      </c>
      <c r="P238">
        <v>336</v>
      </c>
      <c r="Q238">
        <v>100</v>
      </c>
      <c r="R238" t="s">
        <v>36</v>
      </c>
      <c r="S238">
        <v>12</v>
      </c>
      <c r="T238">
        <v>12</v>
      </c>
      <c r="U238" t="s">
        <v>112</v>
      </c>
      <c r="V238" t="s">
        <v>37</v>
      </c>
      <c r="W238">
        <v>450</v>
      </c>
      <c r="X238">
        <v>532</v>
      </c>
      <c r="Y238">
        <v>8.3000000000000007</v>
      </c>
      <c r="Z238">
        <v>500</v>
      </c>
      <c r="AA238">
        <v>2000</v>
      </c>
      <c r="AB238">
        <v>50</v>
      </c>
      <c r="AC238" t="s">
        <v>40</v>
      </c>
    </row>
    <row r="239" spans="1:29" x14ac:dyDescent="0.25">
      <c r="A239" t="str">
        <f>"Raman_"&amp;E239&amp;"_"&amp;B239&amp;"_"&amp;AC239&amp;"_"&amp;TEXT(F239, "000")&amp;"_"&amp;TEXT(G239, "000")&amp;"_"&amp;H239&amp;".csv"</f>
        <v>Raman_EG_Pavlovagyrans_raw_002_005_B2.csv</v>
      </c>
      <c r="B239" t="s">
        <v>255</v>
      </c>
      <c r="C239" t="s">
        <v>30</v>
      </c>
      <c r="D239" t="s">
        <v>30</v>
      </c>
      <c r="E239" t="s">
        <v>31</v>
      </c>
      <c r="F239">
        <v>2</v>
      </c>
      <c r="G239">
        <v>5</v>
      </c>
      <c r="H239" t="s">
        <v>32</v>
      </c>
      <c r="I239" t="s">
        <v>256</v>
      </c>
      <c r="J239" t="s">
        <v>34</v>
      </c>
      <c r="L239" t="s">
        <v>30</v>
      </c>
      <c r="M239">
        <v>22</v>
      </c>
      <c r="N239" t="s">
        <v>80</v>
      </c>
      <c r="O239" t="s">
        <v>242</v>
      </c>
      <c r="P239">
        <v>336</v>
      </c>
      <c r="Q239">
        <v>100</v>
      </c>
      <c r="R239" t="s">
        <v>36</v>
      </c>
      <c r="S239">
        <v>12</v>
      </c>
      <c r="T239">
        <v>12</v>
      </c>
      <c r="U239" t="s">
        <v>112</v>
      </c>
      <c r="V239" t="s">
        <v>37</v>
      </c>
      <c r="W239">
        <v>450</v>
      </c>
      <c r="X239">
        <v>532</v>
      </c>
      <c r="Y239">
        <v>8.3000000000000007</v>
      </c>
      <c r="Z239">
        <v>500</v>
      </c>
      <c r="AA239">
        <v>2000</v>
      </c>
      <c r="AB239">
        <v>50</v>
      </c>
      <c r="AC239" t="s">
        <v>40</v>
      </c>
    </row>
    <row r="240" spans="1:29" x14ac:dyDescent="0.25">
      <c r="A240" t="str">
        <f>"Raman_"&amp;E240&amp;"_"&amp;B240&amp;"_"&amp;AC240&amp;"_"&amp;TEXT(F240, "000")&amp;"_"&amp;TEXT(G240, "000")&amp;"_"&amp;H240&amp;".csv"</f>
        <v>Raman_EG_Pavlovagyrans_raw_002_005_B3.csv</v>
      </c>
      <c r="B240" t="s">
        <v>255</v>
      </c>
      <c r="C240" t="s">
        <v>30</v>
      </c>
      <c r="D240" t="s">
        <v>30</v>
      </c>
      <c r="E240" t="s">
        <v>31</v>
      </c>
      <c r="F240">
        <v>2</v>
      </c>
      <c r="G240">
        <v>5</v>
      </c>
      <c r="H240" t="s">
        <v>41</v>
      </c>
      <c r="I240" t="s">
        <v>256</v>
      </c>
      <c r="J240" t="s">
        <v>34</v>
      </c>
      <c r="L240" t="s">
        <v>30</v>
      </c>
      <c r="M240">
        <v>22</v>
      </c>
      <c r="N240" t="s">
        <v>42</v>
      </c>
      <c r="O240" t="s">
        <v>242</v>
      </c>
      <c r="P240">
        <v>336</v>
      </c>
      <c r="Q240">
        <v>100</v>
      </c>
      <c r="R240" t="s">
        <v>36</v>
      </c>
      <c r="S240">
        <v>12</v>
      </c>
      <c r="T240">
        <v>12</v>
      </c>
      <c r="U240" t="s">
        <v>112</v>
      </c>
      <c r="V240" t="s">
        <v>37</v>
      </c>
      <c r="W240">
        <v>450</v>
      </c>
      <c r="X240">
        <v>532</v>
      </c>
      <c r="Y240">
        <v>8.3000000000000007</v>
      </c>
      <c r="Z240">
        <v>500</v>
      </c>
      <c r="AA240">
        <v>2000</v>
      </c>
      <c r="AB240">
        <v>50</v>
      </c>
      <c r="AC240" t="s">
        <v>40</v>
      </c>
    </row>
    <row r="241" spans="1:29" x14ac:dyDescent="0.25">
      <c r="A241" t="str">
        <f>"Raman_"&amp;E241&amp;"_"&amp;B241&amp;"_"&amp;AC241&amp;"_"&amp;TEXT(F241, "000")&amp;"_"&amp;TEXT(G241, "000")&amp;"_"&amp;H241&amp;".csv"</f>
        <v>Raman_EG_Pavlovagyrans_raw_002_005_B4.csv</v>
      </c>
      <c r="B241" t="s">
        <v>255</v>
      </c>
      <c r="C241" t="s">
        <v>30</v>
      </c>
      <c r="D241" t="s">
        <v>30</v>
      </c>
      <c r="E241" t="s">
        <v>31</v>
      </c>
      <c r="F241">
        <v>2</v>
      </c>
      <c r="G241">
        <v>5</v>
      </c>
      <c r="H241" t="s">
        <v>43</v>
      </c>
      <c r="I241" t="s">
        <v>256</v>
      </c>
      <c r="J241" t="s">
        <v>34</v>
      </c>
      <c r="L241" t="s">
        <v>30</v>
      </c>
      <c r="M241">
        <v>22</v>
      </c>
      <c r="N241" t="s">
        <v>82</v>
      </c>
      <c r="O241" t="s">
        <v>242</v>
      </c>
      <c r="P241">
        <v>336</v>
      </c>
      <c r="Q241">
        <v>100</v>
      </c>
      <c r="R241" t="s">
        <v>36</v>
      </c>
      <c r="S241">
        <v>12</v>
      </c>
      <c r="T241">
        <v>12</v>
      </c>
      <c r="U241" t="s">
        <v>112</v>
      </c>
      <c r="V241" t="s">
        <v>37</v>
      </c>
      <c r="W241">
        <v>450</v>
      </c>
      <c r="X241">
        <v>532</v>
      </c>
      <c r="Y241">
        <v>8.3000000000000007</v>
      </c>
      <c r="Z241">
        <v>500</v>
      </c>
      <c r="AA241">
        <v>2000</v>
      </c>
      <c r="AB241">
        <v>50</v>
      </c>
      <c r="AC241" t="s">
        <v>40</v>
      </c>
    </row>
    <row r="242" spans="1:29" x14ac:dyDescent="0.25">
      <c r="A242" t="str">
        <f>"Raman_"&amp;E242&amp;"_"&amp;B242&amp;"_"&amp;AC242&amp;"_"&amp;TEXT(F242, "000")&amp;"_"&amp;TEXT(G242, "000")&amp;"_"&amp;H242&amp;".csv"</f>
        <v>Raman_EG_Pavlovagyrans_raw_002_005_B5.csv</v>
      </c>
      <c r="B242" t="s">
        <v>255</v>
      </c>
      <c r="C242" t="s">
        <v>30</v>
      </c>
      <c r="D242" t="s">
        <v>30</v>
      </c>
      <c r="E242" t="s">
        <v>31</v>
      </c>
      <c r="F242">
        <v>2</v>
      </c>
      <c r="G242">
        <v>5</v>
      </c>
      <c r="H242" t="s">
        <v>45</v>
      </c>
      <c r="I242" t="s">
        <v>256</v>
      </c>
      <c r="J242" t="s">
        <v>34</v>
      </c>
      <c r="L242" t="s">
        <v>30</v>
      </c>
      <c r="M242">
        <v>22</v>
      </c>
      <c r="N242" t="s">
        <v>44</v>
      </c>
      <c r="O242" t="s">
        <v>242</v>
      </c>
      <c r="P242">
        <v>336</v>
      </c>
      <c r="Q242">
        <v>100</v>
      </c>
      <c r="R242" t="s">
        <v>36</v>
      </c>
      <c r="S242">
        <v>12</v>
      </c>
      <c r="T242">
        <v>12</v>
      </c>
      <c r="U242" t="s">
        <v>112</v>
      </c>
      <c r="V242" t="s">
        <v>37</v>
      </c>
      <c r="W242">
        <v>450</v>
      </c>
      <c r="X242">
        <v>532</v>
      </c>
      <c r="Y242">
        <v>8.3000000000000007</v>
      </c>
      <c r="Z242">
        <v>500</v>
      </c>
      <c r="AA242">
        <v>2000</v>
      </c>
      <c r="AB242">
        <v>50</v>
      </c>
      <c r="AC242" t="s">
        <v>40</v>
      </c>
    </row>
    <row r="243" spans="1:29" x14ac:dyDescent="0.25">
      <c r="A243" t="str">
        <f>"Raman_"&amp;E243&amp;"_"&amp;B243&amp;"_"&amp;AC243&amp;"_"&amp;TEXT(F243, "000")&amp;"_"&amp;TEXT(G243, "000")&amp;"_"&amp;H243&amp;".csv"</f>
        <v>Raman_EG_Pavlovagyrans_raw_002_005_B6.csv</v>
      </c>
      <c r="B243" t="s">
        <v>255</v>
      </c>
      <c r="C243" t="s">
        <v>30</v>
      </c>
      <c r="D243" t="s">
        <v>30</v>
      </c>
      <c r="E243" t="s">
        <v>31</v>
      </c>
      <c r="F243">
        <v>2</v>
      </c>
      <c r="G243">
        <v>5</v>
      </c>
      <c r="H243" t="s">
        <v>47</v>
      </c>
      <c r="I243" t="s">
        <v>256</v>
      </c>
      <c r="J243" t="s">
        <v>34</v>
      </c>
      <c r="L243" t="s">
        <v>30</v>
      </c>
      <c r="M243">
        <v>22</v>
      </c>
      <c r="N243" t="s">
        <v>84</v>
      </c>
      <c r="O243" t="s">
        <v>242</v>
      </c>
      <c r="P243">
        <v>336</v>
      </c>
      <c r="Q243">
        <v>100</v>
      </c>
      <c r="R243" t="s">
        <v>36</v>
      </c>
      <c r="S243">
        <v>12</v>
      </c>
      <c r="T243">
        <v>12</v>
      </c>
      <c r="U243" t="s">
        <v>112</v>
      </c>
      <c r="V243" t="s">
        <v>37</v>
      </c>
      <c r="W243">
        <v>450</v>
      </c>
      <c r="X243">
        <v>532</v>
      </c>
      <c r="Y243">
        <v>8.3000000000000007</v>
      </c>
      <c r="Z243">
        <v>500</v>
      </c>
      <c r="AA243">
        <v>2000</v>
      </c>
      <c r="AB243">
        <v>50</v>
      </c>
      <c r="AC243" t="s">
        <v>40</v>
      </c>
    </row>
    <row r="244" spans="1:29" x14ac:dyDescent="0.25">
      <c r="A244" t="str">
        <f>"Raman_"&amp;E244&amp;"_"&amp;B244&amp;"_"&amp;AC244&amp;"_"&amp;TEXT(F244, "000")&amp;"_"&amp;TEXT(G244, "000")&amp;"_"&amp;H244&amp;".csv"</f>
        <v>Raman_EG_Pavlovagyrans_raw_002_005_B7.csv</v>
      </c>
      <c r="B244" t="s">
        <v>255</v>
      </c>
      <c r="C244" t="s">
        <v>30</v>
      </c>
      <c r="D244" t="s">
        <v>30</v>
      </c>
      <c r="E244" t="s">
        <v>31</v>
      </c>
      <c r="F244">
        <v>2</v>
      </c>
      <c r="G244">
        <v>5</v>
      </c>
      <c r="H244" t="s">
        <v>49</v>
      </c>
      <c r="I244" t="s">
        <v>256</v>
      </c>
      <c r="J244" t="s">
        <v>34</v>
      </c>
      <c r="L244" t="s">
        <v>30</v>
      </c>
      <c r="M244">
        <v>22</v>
      </c>
      <c r="N244" t="s">
        <v>46</v>
      </c>
      <c r="O244" t="s">
        <v>242</v>
      </c>
      <c r="P244">
        <v>336</v>
      </c>
      <c r="Q244">
        <v>100</v>
      </c>
      <c r="R244" t="s">
        <v>36</v>
      </c>
      <c r="S244">
        <v>12</v>
      </c>
      <c r="T244">
        <v>12</v>
      </c>
      <c r="U244" t="s">
        <v>112</v>
      </c>
      <c r="V244" t="s">
        <v>37</v>
      </c>
      <c r="W244">
        <v>450</v>
      </c>
      <c r="X244">
        <v>532</v>
      </c>
      <c r="Y244">
        <v>8.3000000000000007</v>
      </c>
      <c r="Z244">
        <v>500</v>
      </c>
      <c r="AA244">
        <v>2000</v>
      </c>
      <c r="AB244">
        <v>50</v>
      </c>
      <c r="AC244" t="s">
        <v>40</v>
      </c>
    </row>
    <row r="245" spans="1:29" x14ac:dyDescent="0.25">
      <c r="A245" t="str">
        <f>"Raman_"&amp;E245&amp;"_"&amp;B245&amp;"_"&amp;AC245&amp;"_"&amp;TEXT(F245, "000")&amp;"_"&amp;TEXT(G245, "000")&amp;"_"&amp;H245&amp;".csv"</f>
        <v>Raman_EG_Pavlovagyrans_raw_002_005_B8.csv</v>
      </c>
      <c r="B245" t="s">
        <v>255</v>
      </c>
      <c r="C245" t="s">
        <v>30</v>
      </c>
      <c r="D245" t="s">
        <v>30</v>
      </c>
      <c r="E245" t="s">
        <v>31</v>
      </c>
      <c r="F245">
        <v>2</v>
      </c>
      <c r="G245">
        <v>5</v>
      </c>
      <c r="H245" t="s">
        <v>51</v>
      </c>
      <c r="I245" t="s">
        <v>256</v>
      </c>
      <c r="J245" t="s">
        <v>34</v>
      </c>
      <c r="L245" t="s">
        <v>30</v>
      </c>
      <c r="M245">
        <v>22</v>
      </c>
      <c r="N245" t="s">
        <v>86</v>
      </c>
      <c r="O245" t="s">
        <v>242</v>
      </c>
      <c r="P245">
        <v>336</v>
      </c>
      <c r="Q245">
        <v>100</v>
      </c>
      <c r="R245" t="s">
        <v>36</v>
      </c>
      <c r="S245">
        <v>12</v>
      </c>
      <c r="T245">
        <v>12</v>
      </c>
      <c r="U245" t="s">
        <v>112</v>
      </c>
      <c r="V245" t="s">
        <v>37</v>
      </c>
      <c r="W245">
        <v>450</v>
      </c>
      <c r="X245">
        <v>532</v>
      </c>
      <c r="Y245">
        <v>8.3000000000000007</v>
      </c>
      <c r="Z245">
        <v>500</v>
      </c>
      <c r="AA245">
        <v>2000</v>
      </c>
      <c r="AB245">
        <v>50</v>
      </c>
      <c r="AC245" t="s">
        <v>40</v>
      </c>
    </row>
    <row r="246" spans="1:29" x14ac:dyDescent="0.25">
      <c r="A246" t="str">
        <f>"Raman_"&amp;E246&amp;"_"&amp;B246&amp;"_"&amp;AC246&amp;"_"&amp;TEXT(F246, "000")&amp;"_"&amp;TEXT(G246, "000")&amp;"_"&amp;H246&amp;".csv"</f>
        <v>Raman_EG_Pavlovagyrans_raw_002_005_C1.csv</v>
      </c>
      <c r="B246" t="s">
        <v>255</v>
      </c>
      <c r="C246" t="s">
        <v>30</v>
      </c>
      <c r="D246" t="s">
        <v>30</v>
      </c>
      <c r="E246" t="s">
        <v>31</v>
      </c>
      <c r="F246">
        <v>2</v>
      </c>
      <c r="G246">
        <v>5</v>
      </c>
      <c r="H246" t="s">
        <v>137</v>
      </c>
      <c r="I246" t="s">
        <v>256</v>
      </c>
      <c r="J246" t="s">
        <v>34</v>
      </c>
      <c r="L246" t="s">
        <v>30</v>
      </c>
      <c r="M246">
        <v>22</v>
      </c>
      <c r="N246" t="s">
        <v>35</v>
      </c>
      <c r="O246" t="s">
        <v>242</v>
      </c>
      <c r="P246">
        <v>336</v>
      </c>
      <c r="Q246">
        <v>100</v>
      </c>
      <c r="R246" t="s">
        <v>36</v>
      </c>
      <c r="S246">
        <v>12</v>
      </c>
      <c r="T246">
        <v>12</v>
      </c>
      <c r="U246" t="s">
        <v>112</v>
      </c>
      <c r="V246" t="s">
        <v>37</v>
      </c>
      <c r="W246">
        <v>450</v>
      </c>
      <c r="X246">
        <v>532</v>
      </c>
      <c r="Y246">
        <v>8.3000000000000007</v>
      </c>
      <c r="Z246">
        <v>500</v>
      </c>
      <c r="AA246">
        <v>2000</v>
      </c>
      <c r="AB246">
        <v>50</v>
      </c>
      <c r="AC246" t="s">
        <v>40</v>
      </c>
    </row>
    <row r="247" spans="1:29" x14ac:dyDescent="0.25">
      <c r="A247" t="str">
        <f>"Raman_"&amp;E247&amp;"_"&amp;B247&amp;"_"&amp;AC247&amp;"_"&amp;TEXT(F247, "000")&amp;"_"&amp;TEXT(G247, "000")&amp;"_"&amp;H247&amp;".csv"</f>
        <v>Raman_EG_Pavlovagyrans_raw_002_005_C2.csv</v>
      </c>
      <c r="B247" t="s">
        <v>255</v>
      </c>
      <c r="C247" t="s">
        <v>30</v>
      </c>
      <c r="D247" t="s">
        <v>30</v>
      </c>
      <c r="E247" t="s">
        <v>31</v>
      </c>
      <c r="F247">
        <v>2</v>
      </c>
      <c r="G247">
        <v>5</v>
      </c>
      <c r="H247" t="s">
        <v>59</v>
      </c>
      <c r="I247" t="s">
        <v>256</v>
      </c>
      <c r="J247" t="s">
        <v>34</v>
      </c>
      <c r="L247" t="s">
        <v>30</v>
      </c>
      <c r="M247">
        <v>22</v>
      </c>
      <c r="N247" t="s">
        <v>80</v>
      </c>
      <c r="O247" t="s">
        <v>242</v>
      </c>
      <c r="P247">
        <v>336</v>
      </c>
      <c r="Q247">
        <v>100</v>
      </c>
      <c r="R247" t="s">
        <v>36</v>
      </c>
      <c r="S247">
        <v>12</v>
      </c>
      <c r="T247">
        <v>12</v>
      </c>
      <c r="U247" t="s">
        <v>112</v>
      </c>
      <c r="V247" t="s">
        <v>37</v>
      </c>
      <c r="W247">
        <v>450</v>
      </c>
      <c r="X247">
        <v>532</v>
      </c>
      <c r="Y247">
        <v>8.3000000000000007</v>
      </c>
      <c r="Z247">
        <v>500</v>
      </c>
      <c r="AA247">
        <v>2000</v>
      </c>
      <c r="AB247">
        <v>50</v>
      </c>
      <c r="AC247" t="s">
        <v>40</v>
      </c>
    </row>
    <row r="248" spans="1:29" x14ac:dyDescent="0.25">
      <c r="A248" t="str">
        <f>"Raman_"&amp;E248&amp;"_"&amp;B248&amp;"_"&amp;AC248&amp;"_"&amp;TEXT(F248, "000")&amp;"_"&amp;TEXT(G248, "000")&amp;"_"&amp;H248&amp;".csv"</f>
        <v>Raman_EG_Pavlovagyrans_raw_002_005_C3.csv</v>
      </c>
      <c r="B248" t="s">
        <v>255</v>
      </c>
      <c r="C248" t="s">
        <v>30</v>
      </c>
      <c r="D248" t="s">
        <v>30</v>
      </c>
      <c r="E248" t="s">
        <v>31</v>
      </c>
      <c r="F248">
        <v>2</v>
      </c>
      <c r="G248">
        <v>5</v>
      </c>
      <c r="H248" t="s">
        <v>60</v>
      </c>
      <c r="I248" t="s">
        <v>256</v>
      </c>
      <c r="J248" t="s">
        <v>34</v>
      </c>
      <c r="L248" t="s">
        <v>30</v>
      </c>
      <c r="M248">
        <v>22</v>
      </c>
      <c r="N248" t="s">
        <v>42</v>
      </c>
      <c r="O248" t="s">
        <v>242</v>
      </c>
      <c r="P248">
        <v>336</v>
      </c>
      <c r="Q248">
        <v>100</v>
      </c>
      <c r="R248" t="s">
        <v>36</v>
      </c>
      <c r="S248">
        <v>12</v>
      </c>
      <c r="T248">
        <v>12</v>
      </c>
      <c r="U248" t="s">
        <v>112</v>
      </c>
      <c r="V248" t="s">
        <v>37</v>
      </c>
      <c r="W248">
        <v>450</v>
      </c>
      <c r="X248">
        <v>532</v>
      </c>
      <c r="Y248">
        <v>8.3000000000000007</v>
      </c>
      <c r="Z248">
        <v>500</v>
      </c>
      <c r="AA248">
        <v>2000</v>
      </c>
      <c r="AB248">
        <v>50</v>
      </c>
      <c r="AC248" t="s">
        <v>40</v>
      </c>
    </row>
    <row r="249" spans="1:29" x14ac:dyDescent="0.25">
      <c r="A249" t="str">
        <f>"Raman_"&amp;E249&amp;"_"&amp;B249&amp;"_"&amp;AC249&amp;"_"&amp;TEXT(F249, "000")&amp;"_"&amp;TEXT(G249, "000")&amp;"_"&amp;H249&amp;".csv"</f>
        <v>Raman_EG_Pavlovagyrans_raw_002_005_C4.csv</v>
      </c>
      <c r="B249" t="s">
        <v>255</v>
      </c>
      <c r="C249" t="s">
        <v>30</v>
      </c>
      <c r="D249" t="s">
        <v>30</v>
      </c>
      <c r="E249" t="s">
        <v>31</v>
      </c>
      <c r="F249">
        <v>2</v>
      </c>
      <c r="G249">
        <v>5</v>
      </c>
      <c r="H249" t="s">
        <v>61</v>
      </c>
      <c r="I249" t="s">
        <v>256</v>
      </c>
      <c r="J249" t="s">
        <v>34</v>
      </c>
      <c r="L249" t="s">
        <v>30</v>
      </c>
      <c r="M249">
        <v>22</v>
      </c>
      <c r="N249" t="s">
        <v>82</v>
      </c>
      <c r="O249" t="s">
        <v>242</v>
      </c>
      <c r="P249">
        <v>336</v>
      </c>
      <c r="Q249">
        <v>100</v>
      </c>
      <c r="R249" t="s">
        <v>36</v>
      </c>
      <c r="S249">
        <v>12</v>
      </c>
      <c r="T249">
        <v>12</v>
      </c>
      <c r="U249" t="s">
        <v>112</v>
      </c>
      <c r="V249" t="s">
        <v>37</v>
      </c>
      <c r="W249">
        <v>450</v>
      </c>
      <c r="X249">
        <v>532</v>
      </c>
      <c r="Y249">
        <v>8.3000000000000007</v>
      </c>
      <c r="Z249">
        <v>500</v>
      </c>
      <c r="AA249">
        <v>2000</v>
      </c>
      <c r="AB249">
        <v>50</v>
      </c>
      <c r="AC249" t="s">
        <v>40</v>
      </c>
    </row>
    <row r="250" spans="1:29" x14ac:dyDescent="0.25">
      <c r="A250" t="str">
        <f>"Raman_"&amp;E250&amp;"_"&amp;B250&amp;"_"&amp;AC250&amp;"_"&amp;TEXT(F250, "000")&amp;"_"&amp;TEXT(G250, "000")&amp;"_"&amp;H250&amp;".csv"</f>
        <v>Raman_EG_Pavlovagyrans_raw_002_005_C5.csv</v>
      </c>
      <c r="B250" t="s">
        <v>255</v>
      </c>
      <c r="C250" t="s">
        <v>30</v>
      </c>
      <c r="D250" t="s">
        <v>30</v>
      </c>
      <c r="E250" t="s">
        <v>31</v>
      </c>
      <c r="F250">
        <v>2</v>
      </c>
      <c r="G250">
        <v>5</v>
      </c>
      <c r="H250" t="s">
        <v>62</v>
      </c>
      <c r="I250" t="s">
        <v>256</v>
      </c>
      <c r="J250" t="s">
        <v>34</v>
      </c>
      <c r="L250" t="s">
        <v>30</v>
      </c>
      <c r="M250">
        <v>22</v>
      </c>
      <c r="N250" t="s">
        <v>44</v>
      </c>
      <c r="O250" t="s">
        <v>242</v>
      </c>
      <c r="P250">
        <v>336</v>
      </c>
      <c r="Q250">
        <v>100</v>
      </c>
      <c r="R250" t="s">
        <v>36</v>
      </c>
      <c r="S250">
        <v>12</v>
      </c>
      <c r="T250">
        <v>12</v>
      </c>
      <c r="U250" t="s">
        <v>112</v>
      </c>
      <c r="V250" t="s">
        <v>37</v>
      </c>
      <c r="W250">
        <v>450</v>
      </c>
      <c r="X250">
        <v>532</v>
      </c>
      <c r="Y250">
        <v>8.3000000000000007</v>
      </c>
      <c r="Z250">
        <v>500</v>
      </c>
      <c r="AA250">
        <v>2000</v>
      </c>
      <c r="AB250">
        <v>50</v>
      </c>
      <c r="AC250" t="s">
        <v>40</v>
      </c>
    </row>
    <row r="251" spans="1:29" x14ac:dyDescent="0.25">
      <c r="A251" t="str">
        <f>"Raman_"&amp;E251&amp;"_"&amp;B251&amp;"_"&amp;AC251&amp;"_"&amp;TEXT(F251, "000")&amp;"_"&amp;TEXT(G251, "000")&amp;"_"&amp;H251&amp;".csv"</f>
        <v>Raman_EG_Pavlovagyrans_raw_002_005_C6.csv</v>
      </c>
      <c r="B251" t="s">
        <v>255</v>
      </c>
      <c r="C251" t="s">
        <v>30</v>
      </c>
      <c r="D251" t="s">
        <v>30</v>
      </c>
      <c r="E251" t="s">
        <v>31</v>
      </c>
      <c r="F251">
        <v>2</v>
      </c>
      <c r="G251">
        <v>5</v>
      </c>
      <c r="H251" t="s">
        <v>63</v>
      </c>
      <c r="I251" t="s">
        <v>256</v>
      </c>
      <c r="J251" t="s">
        <v>34</v>
      </c>
      <c r="L251" t="s">
        <v>30</v>
      </c>
      <c r="M251">
        <v>22</v>
      </c>
      <c r="N251" t="s">
        <v>84</v>
      </c>
      <c r="O251" t="s">
        <v>242</v>
      </c>
      <c r="P251">
        <v>336</v>
      </c>
      <c r="Q251">
        <v>100</v>
      </c>
      <c r="R251" t="s">
        <v>36</v>
      </c>
      <c r="S251">
        <v>12</v>
      </c>
      <c r="T251">
        <v>12</v>
      </c>
      <c r="U251" t="s">
        <v>112</v>
      </c>
      <c r="V251" t="s">
        <v>37</v>
      </c>
      <c r="W251">
        <v>450</v>
      </c>
      <c r="X251">
        <v>532</v>
      </c>
      <c r="Y251">
        <v>8.3000000000000007</v>
      </c>
      <c r="Z251">
        <v>500</v>
      </c>
      <c r="AA251">
        <v>2000</v>
      </c>
      <c r="AB251">
        <v>50</v>
      </c>
      <c r="AC251" t="s">
        <v>40</v>
      </c>
    </row>
    <row r="252" spans="1:29" x14ac:dyDescent="0.25">
      <c r="A252" t="str">
        <f>"Raman_"&amp;E252&amp;"_"&amp;B252&amp;"_"&amp;AC252&amp;"_"&amp;TEXT(F252, "000")&amp;"_"&amp;TEXT(G252, "000")&amp;"_"&amp;H252&amp;".csv"</f>
        <v>Raman_EG_Pavlovagyrans_raw_002_005_C7.csv</v>
      </c>
      <c r="B252" t="s">
        <v>255</v>
      </c>
      <c r="C252" t="s">
        <v>30</v>
      </c>
      <c r="D252" t="s">
        <v>30</v>
      </c>
      <c r="E252" t="s">
        <v>31</v>
      </c>
      <c r="F252">
        <v>2</v>
      </c>
      <c r="G252">
        <v>5</v>
      </c>
      <c r="H252" t="s">
        <v>64</v>
      </c>
      <c r="I252" t="s">
        <v>256</v>
      </c>
      <c r="J252" t="s">
        <v>34</v>
      </c>
      <c r="L252" t="s">
        <v>30</v>
      </c>
      <c r="M252">
        <v>22</v>
      </c>
      <c r="N252" t="s">
        <v>46</v>
      </c>
      <c r="O252" t="s">
        <v>242</v>
      </c>
      <c r="P252">
        <v>336</v>
      </c>
      <c r="Q252">
        <v>100</v>
      </c>
      <c r="R252" t="s">
        <v>36</v>
      </c>
      <c r="S252">
        <v>12</v>
      </c>
      <c r="T252">
        <v>12</v>
      </c>
      <c r="U252" t="s">
        <v>112</v>
      </c>
      <c r="V252" t="s">
        <v>37</v>
      </c>
      <c r="W252">
        <v>450</v>
      </c>
      <c r="X252">
        <v>532</v>
      </c>
      <c r="Y252">
        <v>8.3000000000000007</v>
      </c>
      <c r="Z252">
        <v>500</v>
      </c>
      <c r="AA252">
        <v>2000</v>
      </c>
      <c r="AB252">
        <v>50</v>
      </c>
      <c r="AC252" t="s">
        <v>40</v>
      </c>
    </row>
    <row r="253" spans="1:29" x14ac:dyDescent="0.25">
      <c r="A253" t="str">
        <f>"Raman_"&amp;E253&amp;"_"&amp;B253&amp;"_"&amp;AC253&amp;"_"&amp;TEXT(F253, "000")&amp;"_"&amp;TEXT(G253, "000")&amp;"_"&amp;H253&amp;".csv"</f>
        <v>Raman_EG_Pavlovagyrans_raw_002_005_C8.csv</v>
      </c>
      <c r="B253" t="s">
        <v>255</v>
      </c>
      <c r="C253" t="s">
        <v>30</v>
      </c>
      <c r="D253" t="s">
        <v>30</v>
      </c>
      <c r="E253" t="s">
        <v>31</v>
      </c>
      <c r="F253">
        <v>2</v>
      </c>
      <c r="G253">
        <v>5</v>
      </c>
      <c r="H253" t="s">
        <v>65</v>
      </c>
      <c r="I253" t="s">
        <v>256</v>
      </c>
      <c r="J253" t="s">
        <v>34</v>
      </c>
      <c r="L253" t="s">
        <v>30</v>
      </c>
      <c r="M253">
        <v>22</v>
      </c>
      <c r="N253" t="s">
        <v>86</v>
      </c>
      <c r="O253" t="s">
        <v>242</v>
      </c>
      <c r="P253">
        <v>336</v>
      </c>
      <c r="Q253">
        <v>100</v>
      </c>
      <c r="R253" t="s">
        <v>36</v>
      </c>
      <c r="S253">
        <v>12</v>
      </c>
      <c r="T253">
        <v>12</v>
      </c>
      <c r="U253" t="s">
        <v>112</v>
      </c>
      <c r="V253" t="s">
        <v>37</v>
      </c>
      <c r="W253">
        <v>450</v>
      </c>
      <c r="X253">
        <v>532</v>
      </c>
      <c r="Y253">
        <v>8.3000000000000007</v>
      </c>
      <c r="Z253">
        <v>500</v>
      </c>
      <c r="AA253">
        <v>2000</v>
      </c>
      <c r="AB253">
        <v>50</v>
      </c>
      <c r="AC253" t="s">
        <v>40</v>
      </c>
    </row>
    <row r="254" spans="1:29" x14ac:dyDescent="0.25">
      <c r="A254" t="str">
        <f>"Raman_"&amp;E254&amp;"_"&amp;B254&amp;"_"&amp;AC254&amp;"_"&amp;TEXT(F254, "000")&amp;"_"&amp;TEXT(G254, "000")&amp;"_"&amp;H254&amp;".csv"</f>
        <v>Raman_EG_Pavlovagyrans_raw_002_005_D1.csv</v>
      </c>
      <c r="B254" t="s">
        <v>255</v>
      </c>
      <c r="C254" t="s">
        <v>30</v>
      </c>
      <c r="D254" t="s">
        <v>30</v>
      </c>
      <c r="E254" t="s">
        <v>31</v>
      </c>
      <c r="F254">
        <v>2</v>
      </c>
      <c r="G254">
        <v>5</v>
      </c>
      <c r="H254" t="s">
        <v>146</v>
      </c>
      <c r="I254" t="s">
        <v>256</v>
      </c>
      <c r="J254" t="s">
        <v>34</v>
      </c>
      <c r="L254" t="s">
        <v>30</v>
      </c>
      <c r="M254">
        <v>22</v>
      </c>
      <c r="N254" t="s">
        <v>35</v>
      </c>
      <c r="O254" t="s">
        <v>242</v>
      </c>
      <c r="P254">
        <v>336</v>
      </c>
      <c r="Q254">
        <v>100</v>
      </c>
      <c r="R254" t="s">
        <v>36</v>
      </c>
      <c r="S254">
        <v>12</v>
      </c>
      <c r="T254">
        <v>12</v>
      </c>
      <c r="U254" t="s">
        <v>112</v>
      </c>
      <c r="V254" t="s">
        <v>37</v>
      </c>
      <c r="W254">
        <v>450</v>
      </c>
      <c r="X254">
        <v>532</v>
      </c>
      <c r="Y254">
        <v>8.3000000000000007</v>
      </c>
      <c r="Z254">
        <v>500</v>
      </c>
      <c r="AA254">
        <v>2000</v>
      </c>
      <c r="AB254">
        <v>50</v>
      </c>
      <c r="AC254" t="s">
        <v>40</v>
      </c>
    </row>
    <row r="255" spans="1:29" x14ac:dyDescent="0.25">
      <c r="A255" t="str">
        <f>"Raman_"&amp;E255&amp;"_"&amp;B255&amp;"_"&amp;AC255&amp;"_"&amp;TEXT(F255, "000")&amp;"_"&amp;TEXT(G255, "000")&amp;"_"&amp;H255&amp;".csv"</f>
        <v>Raman_EG_Pavlovagyrans_raw_002_005_D2.csv</v>
      </c>
      <c r="B255" t="s">
        <v>255</v>
      </c>
      <c r="C255" t="s">
        <v>30</v>
      </c>
      <c r="D255" t="s">
        <v>30</v>
      </c>
      <c r="E255" t="s">
        <v>31</v>
      </c>
      <c r="F255">
        <v>2</v>
      </c>
      <c r="G255">
        <v>5</v>
      </c>
      <c r="H255" t="s">
        <v>69</v>
      </c>
      <c r="I255" t="s">
        <v>256</v>
      </c>
      <c r="J255" t="s">
        <v>34</v>
      </c>
      <c r="L255" t="s">
        <v>30</v>
      </c>
      <c r="M255">
        <v>22</v>
      </c>
      <c r="N255" t="s">
        <v>80</v>
      </c>
      <c r="O255" t="s">
        <v>242</v>
      </c>
      <c r="P255">
        <v>336</v>
      </c>
      <c r="Q255">
        <v>100</v>
      </c>
      <c r="R255" t="s">
        <v>36</v>
      </c>
      <c r="S255">
        <v>12</v>
      </c>
      <c r="T255">
        <v>12</v>
      </c>
      <c r="U255" t="s">
        <v>112</v>
      </c>
      <c r="V255" t="s">
        <v>37</v>
      </c>
      <c r="W255">
        <v>450</v>
      </c>
      <c r="X255">
        <v>532</v>
      </c>
      <c r="Y255">
        <v>8.3000000000000007</v>
      </c>
      <c r="Z255">
        <v>500</v>
      </c>
      <c r="AA255">
        <v>2000</v>
      </c>
      <c r="AB255">
        <v>50</v>
      </c>
      <c r="AC255" t="s">
        <v>40</v>
      </c>
    </row>
    <row r="256" spans="1:29" x14ac:dyDescent="0.25">
      <c r="A256" t="str">
        <f>"Raman_"&amp;E256&amp;"_"&amp;B256&amp;"_"&amp;AC256&amp;"_"&amp;TEXT(F256, "000")&amp;"_"&amp;TEXT(G256, "000")&amp;"_"&amp;H256&amp;".csv"</f>
        <v>Raman_EG_Pavlovagyrans_raw_002_005_D3.csv</v>
      </c>
      <c r="B256" t="s">
        <v>255</v>
      </c>
      <c r="C256" t="s">
        <v>30</v>
      </c>
      <c r="D256" t="s">
        <v>30</v>
      </c>
      <c r="E256" t="s">
        <v>31</v>
      </c>
      <c r="F256">
        <v>2</v>
      </c>
      <c r="G256">
        <v>5</v>
      </c>
      <c r="H256" t="s">
        <v>70</v>
      </c>
      <c r="I256" t="s">
        <v>256</v>
      </c>
      <c r="J256" t="s">
        <v>34</v>
      </c>
      <c r="L256" t="s">
        <v>30</v>
      </c>
      <c r="M256">
        <v>22</v>
      </c>
      <c r="N256" t="s">
        <v>42</v>
      </c>
      <c r="O256" t="s">
        <v>242</v>
      </c>
      <c r="P256">
        <v>336</v>
      </c>
      <c r="Q256">
        <v>100</v>
      </c>
      <c r="R256" t="s">
        <v>36</v>
      </c>
      <c r="S256">
        <v>12</v>
      </c>
      <c r="T256">
        <v>12</v>
      </c>
      <c r="U256" t="s">
        <v>112</v>
      </c>
      <c r="V256" t="s">
        <v>37</v>
      </c>
      <c r="W256">
        <v>450</v>
      </c>
      <c r="X256">
        <v>532</v>
      </c>
      <c r="Y256">
        <v>8.3000000000000007</v>
      </c>
      <c r="Z256">
        <v>500</v>
      </c>
      <c r="AA256">
        <v>2000</v>
      </c>
      <c r="AB256">
        <v>50</v>
      </c>
      <c r="AC256" t="s">
        <v>40</v>
      </c>
    </row>
    <row r="257" spans="1:29" x14ac:dyDescent="0.25">
      <c r="A257" t="str">
        <f>"Raman_"&amp;E257&amp;"_"&amp;B257&amp;"_"&amp;AC257&amp;"_"&amp;TEXT(F257, "000")&amp;"_"&amp;TEXT(G257, "000")&amp;"_"&amp;H257&amp;".csv"</f>
        <v>Raman_EG_Pavlovagyrans_raw_002_005_D4.csv</v>
      </c>
      <c r="B257" t="s">
        <v>255</v>
      </c>
      <c r="C257" t="s">
        <v>30</v>
      </c>
      <c r="D257" t="s">
        <v>30</v>
      </c>
      <c r="E257" t="s">
        <v>31</v>
      </c>
      <c r="F257">
        <v>2</v>
      </c>
      <c r="G257">
        <v>5</v>
      </c>
      <c r="H257" t="s">
        <v>71</v>
      </c>
      <c r="I257" t="s">
        <v>256</v>
      </c>
      <c r="J257" t="s">
        <v>34</v>
      </c>
      <c r="L257" t="s">
        <v>30</v>
      </c>
      <c r="M257">
        <v>22</v>
      </c>
      <c r="N257" t="s">
        <v>82</v>
      </c>
      <c r="O257" t="s">
        <v>242</v>
      </c>
      <c r="P257">
        <v>336</v>
      </c>
      <c r="Q257">
        <v>100</v>
      </c>
      <c r="R257" t="s">
        <v>36</v>
      </c>
      <c r="S257">
        <v>12</v>
      </c>
      <c r="T257">
        <v>12</v>
      </c>
      <c r="U257" t="s">
        <v>112</v>
      </c>
      <c r="V257" t="s">
        <v>37</v>
      </c>
      <c r="W257">
        <v>450</v>
      </c>
      <c r="X257">
        <v>532</v>
      </c>
      <c r="Y257">
        <v>8.3000000000000007</v>
      </c>
      <c r="Z257">
        <v>500</v>
      </c>
      <c r="AA257">
        <v>2000</v>
      </c>
      <c r="AB257">
        <v>50</v>
      </c>
      <c r="AC257" t="s">
        <v>40</v>
      </c>
    </row>
    <row r="258" spans="1:29" x14ac:dyDescent="0.25">
      <c r="A258" t="str">
        <f>"Raman_"&amp;E258&amp;"_"&amp;B258&amp;"_"&amp;AC258&amp;"_"&amp;TEXT(F258, "000")&amp;"_"&amp;TEXT(G258, "000")&amp;"_"&amp;H258&amp;".csv"</f>
        <v>Raman_EG_Pavlovagyrans_raw_002_005_D5.csv</v>
      </c>
      <c r="B258" t="s">
        <v>255</v>
      </c>
      <c r="C258" t="s">
        <v>30</v>
      </c>
      <c r="D258" t="s">
        <v>30</v>
      </c>
      <c r="E258" t="s">
        <v>31</v>
      </c>
      <c r="F258">
        <v>2</v>
      </c>
      <c r="G258">
        <v>5</v>
      </c>
      <c r="H258" t="s">
        <v>72</v>
      </c>
      <c r="I258" t="s">
        <v>256</v>
      </c>
      <c r="J258" t="s">
        <v>34</v>
      </c>
      <c r="L258" t="s">
        <v>30</v>
      </c>
      <c r="M258">
        <v>22</v>
      </c>
      <c r="N258" t="s">
        <v>44</v>
      </c>
      <c r="O258" t="s">
        <v>242</v>
      </c>
      <c r="P258">
        <v>336</v>
      </c>
      <c r="Q258">
        <v>100</v>
      </c>
      <c r="R258" t="s">
        <v>36</v>
      </c>
      <c r="S258">
        <v>12</v>
      </c>
      <c r="T258">
        <v>12</v>
      </c>
      <c r="U258" t="s">
        <v>112</v>
      </c>
      <c r="V258" t="s">
        <v>37</v>
      </c>
      <c r="W258">
        <v>450</v>
      </c>
      <c r="X258">
        <v>532</v>
      </c>
      <c r="Y258">
        <v>8.3000000000000007</v>
      </c>
      <c r="Z258">
        <v>500</v>
      </c>
      <c r="AA258">
        <v>2000</v>
      </c>
      <c r="AB258">
        <v>50</v>
      </c>
      <c r="AC258" t="s">
        <v>40</v>
      </c>
    </row>
    <row r="259" spans="1:29" x14ac:dyDescent="0.25">
      <c r="A259" t="str">
        <f>"Raman_"&amp;E259&amp;"_"&amp;B259&amp;"_"&amp;AC259&amp;"_"&amp;TEXT(F259, "000")&amp;"_"&amp;TEXT(G259, "000")&amp;"_"&amp;H259&amp;".csv"</f>
        <v>Raman_EG_Pavlovagyrans_raw_002_005_D6.csv</v>
      </c>
      <c r="B259" t="s">
        <v>255</v>
      </c>
      <c r="C259" t="s">
        <v>30</v>
      </c>
      <c r="D259" t="s">
        <v>30</v>
      </c>
      <c r="E259" t="s">
        <v>31</v>
      </c>
      <c r="F259">
        <v>2</v>
      </c>
      <c r="G259">
        <v>5</v>
      </c>
      <c r="H259" t="s">
        <v>73</v>
      </c>
      <c r="I259" t="s">
        <v>256</v>
      </c>
      <c r="J259" t="s">
        <v>34</v>
      </c>
      <c r="L259" t="s">
        <v>30</v>
      </c>
      <c r="M259">
        <v>22</v>
      </c>
      <c r="N259" t="s">
        <v>84</v>
      </c>
      <c r="O259" t="s">
        <v>242</v>
      </c>
      <c r="P259">
        <v>336</v>
      </c>
      <c r="Q259">
        <v>100</v>
      </c>
      <c r="R259" t="s">
        <v>36</v>
      </c>
      <c r="S259">
        <v>12</v>
      </c>
      <c r="T259">
        <v>12</v>
      </c>
      <c r="U259" t="s">
        <v>112</v>
      </c>
      <c r="V259" t="s">
        <v>37</v>
      </c>
      <c r="W259">
        <v>450</v>
      </c>
      <c r="X259">
        <v>532</v>
      </c>
      <c r="Y259">
        <v>8.3000000000000007</v>
      </c>
      <c r="Z259">
        <v>500</v>
      </c>
      <c r="AA259">
        <v>2000</v>
      </c>
      <c r="AB259">
        <v>50</v>
      </c>
      <c r="AC259" t="s">
        <v>40</v>
      </c>
    </row>
    <row r="260" spans="1:29" x14ac:dyDescent="0.25">
      <c r="A260" t="str">
        <f>"Raman_"&amp;E260&amp;"_"&amp;B260&amp;"_"&amp;AC260&amp;"_"&amp;TEXT(F260, "000")&amp;"_"&amp;TEXT(G260, "000")&amp;"_"&amp;H260&amp;".csv"</f>
        <v>Raman_EG_Pavlovagyrans_raw_002_005_D7.csv</v>
      </c>
      <c r="B260" t="s">
        <v>255</v>
      </c>
      <c r="C260" t="s">
        <v>30</v>
      </c>
      <c r="D260" t="s">
        <v>30</v>
      </c>
      <c r="E260" t="s">
        <v>31</v>
      </c>
      <c r="F260">
        <v>2</v>
      </c>
      <c r="G260">
        <v>5</v>
      </c>
      <c r="H260" t="s">
        <v>74</v>
      </c>
      <c r="I260" t="s">
        <v>256</v>
      </c>
      <c r="J260" t="s">
        <v>34</v>
      </c>
      <c r="L260" t="s">
        <v>30</v>
      </c>
      <c r="M260">
        <v>22</v>
      </c>
      <c r="N260" t="s">
        <v>46</v>
      </c>
      <c r="O260" t="s">
        <v>242</v>
      </c>
      <c r="P260">
        <v>336</v>
      </c>
      <c r="Q260">
        <v>100</v>
      </c>
      <c r="R260" t="s">
        <v>36</v>
      </c>
      <c r="S260">
        <v>12</v>
      </c>
      <c r="T260">
        <v>12</v>
      </c>
      <c r="U260" t="s">
        <v>112</v>
      </c>
      <c r="V260" t="s">
        <v>37</v>
      </c>
      <c r="W260">
        <v>450</v>
      </c>
      <c r="X260">
        <v>532</v>
      </c>
      <c r="Y260">
        <v>8.3000000000000007</v>
      </c>
      <c r="Z260">
        <v>500</v>
      </c>
      <c r="AA260">
        <v>2000</v>
      </c>
      <c r="AB260">
        <v>50</v>
      </c>
      <c r="AC260" t="s">
        <v>40</v>
      </c>
    </row>
    <row r="261" spans="1:29" x14ac:dyDescent="0.25">
      <c r="A261" t="str">
        <f>"Raman_"&amp;E261&amp;"_"&amp;B261&amp;"_"&amp;AC261&amp;"_"&amp;TEXT(F261, "000")&amp;"_"&amp;TEXT(G261, "000")&amp;"_"&amp;H261&amp;".csv"</f>
        <v>Raman_EG_Pavlovagyrans_raw_002_005_D8.csv</v>
      </c>
      <c r="B261" t="s">
        <v>255</v>
      </c>
      <c r="C261" t="s">
        <v>30</v>
      </c>
      <c r="D261" t="s">
        <v>30</v>
      </c>
      <c r="E261" t="s">
        <v>31</v>
      </c>
      <c r="F261">
        <v>2</v>
      </c>
      <c r="G261">
        <v>5</v>
      </c>
      <c r="H261" t="s">
        <v>75</v>
      </c>
      <c r="I261" t="s">
        <v>256</v>
      </c>
      <c r="J261" t="s">
        <v>34</v>
      </c>
      <c r="L261" t="s">
        <v>30</v>
      </c>
      <c r="M261">
        <v>22</v>
      </c>
      <c r="N261" t="s">
        <v>86</v>
      </c>
      <c r="O261" t="s">
        <v>242</v>
      </c>
      <c r="P261">
        <v>336</v>
      </c>
      <c r="Q261">
        <v>100</v>
      </c>
      <c r="R261" t="s">
        <v>36</v>
      </c>
      <c r="S261">
        <v>12</v>
      </c>
      <c r="T261">
        <v>12</v>
      </c>
      <c r="U261" t="s">
        <v>112</v>
      </c>
      <c r="V261" t="s">
        <v>37</v>
      </c>
      <c r="W261">
        <v>450</v>
      </c>
      <c r="X261">
        <v>532</v>
      </c>
      <c r="Y261">
        <v>8.3000000000000007</v>
      </c>
      <c r="Z261">
        <v>500</v>
      </c>
      <c r="AA261">
        <v>2000</v>
      </c>
      <c r="AB261">
        <v>50</v>
      </c>
      <c r="AC261" t="s">
        <v>40</v>
      </c>
    </row>
    <row r="262" spans="1:29" x14ac:dyDescent="0.25">
      <c r="A262" t="str">
        <f>"Raman_"&amp;E262&amp;"_"&amp;B262&amp;"_"&amp;AC262&amp;"_"&amp;TEXT(F262, "000")&amp;"_"&amp;TEXT(G262, "000")&amp;"_"&amp;H262&amp;".csv"</f>
        <v>Raman_EG_Pavlovagyrans_raw_002_005_E1.csv</v>
      </c>
      <c r="B262" t="s">
        <v>255</v>
      </c>
      <c r="C262" t="s">
        <v>30</v>
      </c>
      <c r="D262" t="s">
        <v>30</v>
      </c>
      <c r="E262" t="s">
        <v>31</v>
      </c>
      <c r="F262">
        <v>2</v>
      </c>
      <c r="G262">
        <v>5</v>
      </c>
      <c r="H262" t="s">
        <v>155</v>
      </c>
      <c r="I262" t="s">
        <v>256</v>
      </c>
      <c r="J262" t="s">
        <v>34</v>
      </c>
      <c r="L262" t="s">
        <v>30</v>
      </c>
      <c r="M262">
        <v>22</v>
      </c>
      <c r="N262" t="s">
        <v>35</v>
      </c>
      <c r="O262" t="s">
        <v>242</v>
      </c>
      <c r="P262">
        <v>336</v>
      </c>
      <c r="Q262">
        <v>100</v>
      </c>
      <c r="R262" t="s">
        <v>36</v>
      </c>
      <c r="S262">
        <v>12</v>
      </c>
      <c r="T262">
        <v>12</v>
      </c>
      <c r="U262" t="s">
        <v>112</v>
      </c>
      <c r="V262" t="s">
        <v>37</v>
      </c>
      <c r="W262">
        <v>450</v>
      </c>
      <c r="X262">
        <v>532</v>
      </c>
      <c r="Y262">
        <v>8.3000000000000007</v>
      </c>
      <c r="Z262">
        <v>500</v>
      </c>
      <c r="AA262">
        <v>2000</v>
      </c>
      <c r="AB262">
        <v>50</v>
      </c>
      <c r="AC262" t="s">
        <v>40</v>
      </c>
    </row>
    <row r="263" spans="1:29" x14ac:dyDescent="0.25">
      <c r="A263" t="str">
        <f>"Raman_"&amp;E263&amp;"_"&amp;B263&amp;"_"&amp;AC263&amp;"_"&amp;TEXT(F263, "000")&amp;"_"&amp;TEXT(G263, "000")&amp;"_"&amp;H263&amp;".csv"</f>
        <v>Raman_EG_Pavlovagyrans_raw_002_005_E2.csv</v>
      </c>
      <c r="B263" t="s">
        <v>255</v>
      </c>
      <c r="C263" t="s">
        <v>30</v>
      </c>
      <c r="D263" t="s">
        <v>30</v>
      </c>
      <c r="E263" t="s">
        <v>31</v>
      </c>
      <c r="F263">
        <v>2</v>
      </c>
      <c r="G263">
        <v>5</v>
      </c>
      <c r="H263" t="s">
        <v>79</v>
      </c>
      <c r="I263" t="s">
        <v>256</v>
      </c>
      <c r="J263" t="s">
        <v>34</v>
      </c>
      <c r="L263" t="s">
        <v>30</v>
      </c>
      <c r="M263">
        <v>22</v>
      </c>
      <c r="N263" t="s">
        <v>80</v>
      </c>
      <c r="O263" t="s">
        <v>242</v>
      </c>
      <c r="P263">
        <v>336</v>
      </c>
      <c r="Q263">
        <v>100</v>
      </c>
      <c r="R263" t="s">
        <v>36</v>
      </c>
      <c r="S263">
        <v>12</v>
      </c>
      <c r="T263">
        <v>12</v>
      </c>
      <c r="U263" t="s">
        <v>112</v>
      </c>
      <c r="V263" t="s">
        <v>37</v>
      </c>
      <c r="W263">
        <v>450</v>
      </c>
      <c r="X263">
        <v>532</v>
      </c>
      <c r="Y263">
        <v>8.3000000000000007</v>
      </c>
      <c r="Z263">
        <v>500</v>
      </c>
      <c r="AA263">
        <v>2000</v>
      </c>
      <c r="AB263">
        <v>50</v>
      </c>
      <c r="AC263" t="s">
        <v>40</v>
      </c>
    </row>
    <row r="264" spans="1:29" x14ac:dyDescent="0.25">
      <c r="A264" t="str">
        <f>"Raman_"&amp;E264&amp;"_"&amp;B264&amp;"_"&amp;AC264&amp;"_"&amp;TEXT(F264, "000")&amp;"_"&amp;TEXT(G264, "000")&amp;"_"&amp;H264&amp;".csv"</f>
        <v>Raman_EG_Pavlovagyrans_raw_002_005_E3.csv</v>
      </c>
      <c r="B264" t="s">
        <v>255</v>
      </c>
      <c r="C264" t="s">
        <v>30</v>
      </c>
      <c r="D264" t="s">
        <v>30</v>
      </c>
      <c r="E264" t="s">
        <v>31</v>
      </c>
      <c r="F264">
        <v>2</v>
      </c>
      <c r="G264">
        <v>5</v>
      </c>
      <c r="H264" t="s">
        <v>81</v>
      </c>
      <c r="I264" t="s">
        <v>256</v>
      </c>
      <c r="J264" t="s">
        <v>34</v>
      </c>
      <c r="L264" t="s">
        <v>30</v>
      </c>
      <c r="M264">
        <v>22</v>
      </c>
      <c r="N264" t="s">
        <v>42</v>
      </c>
      <c r="O264" t="s">
        <v>242</v>
      </c>
      <c r="P264">
        <v>336</v>
      </c>
      <c r="Q264">
        <v>100</v>
      </c>
      <c r="R264" t="s">
        <v>36</v>
      </c>
      <c r="S264">
        <v>12</v>
      </c>
      <c r="T264">
        <v>12</v>
      </c>
      <c r="U264" t="s">
        <v>112</v>
      </c>
      <c r="V264" t="s">
        <v>37</v>
      </c>
      <c r="W264">
        <v>450</v>
      </c>
      <c r="X264">
        <v>532</v>
      </c>
      <c r="Y264">
        <v>8.3000000000000007</v>
      </c>
      <c r="Z264">
        <v>500</v>
      </c>
      <c r="AA264">
        <v>2000</v>
      </c>
      <c r="AB264">
        <v>50</v>
      </c>
      <c r="AC264" t="s">
        <v>40</v>
      </c>
    </row>
    <row r="265" spans="1:29" x14ac:dyDescent="0.25">
      <c r="A265" t="str">
        <f>"Raman_"&amp;E265&amp;"_"&amp;B265&amp;"_"&amp;AC265&amp;"_"&amp;TEXT(F265, "000")&amp;"_"&amp;TEXT(G265, "000")&amp;"_"&amp;H265&amp;".csv"</f>
        <v>Raman_EG_Pavlovagyrans_raw_002_005_E4.csv</v>
      </c>
      <c r="B265" t="s">
        <v>255</v>
      </c>
      <c r="C265" t="s">
        <v>30</v>
      </c>
      <c r="D265" t="s">
        <v>30</v>
      </c>
      <c r="E265" t="s">
        <v>31</v>
      </c>
      <c r="F265">
        <v>2</v>
      </c>
      <c r="G265">
        <v>5</v>
      </c>
      <c r="H265" t="s">
        <v>83</v>
      </c>
      <c r="I265" t="s">
        <v>256</v>
      </c>
      <c r="J265" t="s">
        <v>34</v>
      </c>
      <c r="L265" t="s">
        <v>30</v>
      </c>
      <c r="M265">
        <v>22</v>
      </c>
      <c r="N265" t="s">
        <v>82</v>
      </c>
      <c r="O265" t="s">
        <v>242</v>
      </c>
      <c r="P265">
        <v>336</v>
      </c>
      <c r="Q265">
        <v>100</v>
      </c>
      <c r="R265" t="s">
        <v>36</v>
      </c>
      <c r="S265">
        <v>12</v>
      </c>
      <c r="T265">
        <v>12</v>
      </c>
      <c r="U265" t="s">
        <v>112</v>
      </c>
      <c r="V265" t="s">
        <v>37</v>
      </c>
      <c r="W265">
        <v>450</v>
      </c>
      <c r="X265">
        <v>532</v>
      </c>
      <c r="Y265">
        <v>8.3000000000000007</v>
      </c>
      <c r="Z265">
        <v>500</v>
      </c>
      <c r="AA265">
        <v>2000</v>
      </c>
      <c r="AB265">
        <v>50</v>
      </c>
      <c r="AC265" t="s">
        <v>40</v>
      </c>
    </row>
    <row r="266" spans="1:29" x14ac:dyDescent="0.25">
      <c r="A266" t="str">
        <f>"Raman_"&amp;E266&amp;"_"&amp;B266&amp;"_"&amp;AC266&amp;"_"&amp;TEXT(F266, "000")&amp;"_"&amp;TEXT(G266, "000")&amp;"_"&amp;H266&amp;".csv"</f>
        <v>Raman_EG_Pavlovagyrans_raw_002_005_E5.csv</v>
      </c>
      <c r="B266" t="s">
        <v>255</v>
      </c>
      <c r="C266" t="s">
        <v>30</v>
      </c>
      <c r="D266" t="s">
        <v>30</v>
      </c>
      <c r="E266" t="s">
        <v>31</v>
      </c>
      <c r="F266">
        <v>2</v>
      </c>
      <c r="G266">
        <v>5</v>
      </c>
      <c r="H266" t="s">
        <v>85</v>
      </c>
      <c r="I266" t="s">
        <v>256</v>
      </c>
      <c r="J266" t="s">
        <v>34</v>
      </c>
      <c r="L266" t="s">
        <v>30</v>
      </c>
      <c r="M266">
        <v>22</v>
      </c>
      <c r="N266" t="s">
        <v>44</v>
      </c>
      <c r="O266" t="s">
        <v>242</v>
      </c>
      <c r="P266">
        <v>336</v>
      </c>
      <c r="Q266">
        <v>100</v>
      </c>
      <c r="R266" t="s">
        <v>36</v>
      </c>
      <c r="S266">
        <v>12</v>
      </c>
      <c r="T266">
        <v>12</v>
      </c>
      <c r="U266" t="s">
        <v>112</v>
      </c>
      <c r="V266" t="s">
        <v>37</v>
      </c>
      <c r="W266">
        <v>450</v>
      </c>
      <c r="X266">
        <v>532</v>
      </c>
      <c r="Y266">
        <v>8.3000000000000007</v>
      </c>
      <c r="Z266">
        <v>500</v>
      </c>
      <c r="AA266">
        <v>2000</v>
      </c>
      <c r="AB266">
        <v>50</v>
      </c>
      <c r="AC266" t="s">
        <v>40</v>
      </c>
    </row>
    <row r="267" spans="1:29" x14ac:dyDescent="0.25">
      <c r="A267" t="str">
        <f>"Raman_"&amp;E267&amp;"_"&amp;B267&amp;"_"&amp;AC267&amp;"_"&amp;TEXT(F267, "000")&amp;"_"&amp;TEXT(G267, "000")&amp;"_"&amp;H267&amp;".csv"</f>
        <v>Raman_EG_Pavlovagyrans_raw_002_005_E6.csv</v>
      </c>
      <c r="B267" t="s">
        <v>255</v>
      </c>
      <c r="C267" t="s">
        <v>30</v>
      </c>
      <c r="D267" t="s">
        <v>30</v>
      </c>
      <c r="E267" t="s">
        <v>31</v>
      </c>
      <c r="F267">
        <v>2</v>
      </c>
      <c r="G267">
        <v>5</v>
      </c>
      <c r="H267" t="s">
        <v>87</v>
      </c>
      <c r="I267" t="s">
        <v>256</v>
      </c>
      <c r="J267" t="s">
        <v>34</v>
      </c>
      <c r="L267" t="s">
        <v>30</v>
      </c>
      <c r="M267">
        <v>22</v>
      </c>
      <c r="N267" t="s">
        <v>84</v>
      </c>
      <c r="O267" t="s">
        <v>242</v>
      </c>
      <c r="P267">
        <v>336</v>
      </c>
      <c r="Q267">
        <v>100</v>
      </c>
      <c r="R267" t="s">
        <v>36</v>
      </c>
      <c r="S267">
        <v>12</v>
      </c>
      <c r="T267">
        <v>12</v>
      </c>
      <c r="U267" t="s">
        <v>112</v>
      </c>
      <c r="V267" t="s">
        <v>37</v>
      </c>
      <c r="W267">
        <v>450</v>
      </c>
      <c r="X267">
        <v>532</v>
      </c>
      <c r="Y267">
        <v>8.3000000000000007</v>
      </c>
      <c r="Z267">
        <v>500</v>
      </c>
      <c r="AA267">
        <v>2000</v>
      </c>
      <c r="AB267">
        <v>50</v>
      </c>
      <c r="AC267" t="s">
        <v>40</v>
      </c>
    </row>
    <row r="268" spans="1:29" x14ac:dyDescent="0.25">
      <c r="A268" t="str">
        <f>"Raman_"&amp;E268&amp;"_"&amp;B268&amp;"_"&amp;AC268&amp;"_"&amp;TEXT(F268, "000")&amp;"_"&amp;TEXT(G268, "000")&amp;"_"&amp;H268&amp;".csv"</f>
        <v>Raman_EG_Pavlovagyrans_raw_002_005_E7.csv</v>
      </c>
      <c r="B268" t="s">
        <v>255</v>
      </c>
      <c r="C268" t="s">
        <v>30</v>
      </c>
      <c r="D268" t="s">
        <v>30</v>
      </c>
      <c r="E268" t="s">
        <v>31</v>
      </c>
      <c r="F268">
        <v>2</v>
      </c>
      <c r="G268">
        <v>5</v>
      </c>
      <c r="H268" t="s">
        <v>89</v>
      </c>
      <c r="I268" t="s">
        <v>256</v>
      </c>
      <c r="J268" t="s">
        <v>34</v>
      </c>
      <c r="L268" t="s">
        <v>30</v>
      </c>
      <c r="M268">
        <v>22</v>
      </c>
      <c r="N268" t="s">
        <v>46</v>
      </c>
      <c r="O268" t="s">
        <v>242</v>
      </c>
      <c r="P268">
        <v>336</v>
      </c>
      <c r="Q268">
        <v>100</v>
      </c>
      <c r="R268" t="s">
        <v>36</v>
      </c>
      <c r="S268">
        <v>12</v>
      </c>
      <c r="T268">
        <v>12</v>
      </c>
      <c r="U268" t="s">
        <v>112</v>
      </c>
      <c r="V268" t="s">
        <v>37</v>
      </c>
      <c r="W268">
        <v>450</v>
      </c>
      <c r="X268">
        <v>532</v>
      </c>
      <c r="Y268">
        <v>8.3000000000000007</v>
      </c>
      <c r="Z268">
        <v>500</v>
      </c>
      <c r="AA268">
        <v>2000</v>
      </c>
      <c r="AB268">
        <v>50</v>
      </c>
      <c r="AC268" t="s">
        <v>40</v>
      </c>
    </row>
    <row r="269" spans="1:29" x14ac:dyDescent="0.25">
      <c r="A269" t="str">
        <f>"Raman_"&amp;E269&amp;"_"&amp;B269&amp;"_"&amp;AC269&amp;"_"&amp;TEXT(F269, "000")&amp;"_"&amp;TEXT(G269, "000")&amp;"_"&amp;H269&amp;".csv"</f>
        <v>Raman_EG_Pavlovagyrans_raw_002_005_E8.csv</v>
      </c>
      <c r="B269" t="s">
        <v>255</v>
      </c>
      <c r="C269" t="s">
        <v>30</v>
      </c>
      <c r="D269" t="s">
        <v>30</v>
      </c>
      <c r="E269" t="s">
        <v>31</v>
      </c>
      <c r="F269">
        <v>2</v>
      </c>
      <c r="G269">
        <v>5</v>
      </c>
      <c r="H269" t="s">
        <v>91</v>
      </c>
      <c r="I269" t="s">
        <v>256</v>
      </c>
      <c r="J269" t="s">
        <v>34</v>
      </c>
      <c r="L269" t="s">
        <v>30</v>
      </c>
      <c r="M269">
        <v>22</v>
      </c>
      <c r="N269" t="s">
        <v>86</v>
      </c>
      <c r="O269" t="s">
        <v>242</v>
      </c>
      <c r="P269">
        <v>336</v>
      </c>
      <c r="Q269">
        <v>100</v>
      </c>
      <c r="R269" t="s">
        <v>36</v>
      </c>
      <c r="S269">
        <v>12</v>
      </c>
      <c r="T269">
        <v>12</v>
      </c>
      <c r="U269" t="s">
        <v>112</v>
      </c>
      <c r="V269" t="s">
        <v>37</v>
      </c>
      <c r="W269">
        <v>450</v>
      </c>
      <c r="X269">
        <v>532</v>
      </c>
      <c r="Y269">
        <v>8.3000000000000007</v>
      </c>
      <c r="Z269">
        <v>500</v>
      </c>
      <c r="AA269">
        <v>2000</v>
      </c>
      <c r="AB269">
        <v>50</v>
      </c>
      <c r="AC269" t="s">
        <v>40</v>
      </c>
    </row>
    <row r="270" spans="1:29" x14ac:dyDescent="0.25">
      <c r="A270" t="str">
        <f>"Raman_"&amp;E270&amp;"_"&amp;B270&amp;"_"&amp;AC270&amp;"_"&amp;TEXT(F270, "000")&amp;"_"&amp;TEXT(G270, "000")&amp;"_"&amp;H270&amp;".csv"</f>
        <v>Raman_EG_Pavlovagyrans_raw_002_005_F1.csv</v>
      </c>
      <c r="B270" t="s">
        <v>255</v>
      </c>
      <c r="C270" t="s">
        <v>30</v>
      </c>
      <c r="D270" t="s">
        <v>30</v>
      </c>
      <c r="E270" t="s">
        <v>31</v>
      </c>
      <c r="F270">
        <v>2</v>
      </c>
      <c r="G270">
        <v>5</v>
      </c>
      <c r="H270" t="s">
        <v>164</v>
      </c>
      <c r="I270" t="s">
        <v>256</v>
      </c>
      <c r="J270" t="s">
        <v>34</v>
      </c>
      <c r="L270" t="s">
        <v>30</v>
      </c>
      <c r="M270">
        <v>22</v>
      </c>
      <c r="N270" t="s">
        <v>35</v>
      </c>
      <c r="O270" t="s">
        <v>242</v>
      </c>
      <c r="P270">
        <v>336</v>
      </c>
      <c r="Q270">
        <v>100</v>
      </c>
      <c r="R270" t="s">
        <v>36</v>
      </c>
      <c r="S270">
        <v>12</v>
      </c>
      <c r="T270">
        <v>12</v>
      </c>
      <c r="U270" t="s">
        <v>112</v>
      </c>
      <c r="V270" t="s">
        <v>37</v>
      </c>
      <c r="W270">
        <v>450</v>
      </c>
      <c r="X270">
        <v>532</v>
      </c>
      <c r="Y270">
        <v>8.3000000000000007</v>
      </c>
      <c r="Z270">
        <v>500</v>
      </c>
      <c r="AA270">
        <v>2000</v>
      </c>
      <c r="AB270">
        <v>50</v>
      </c>
      <c r="AC270" t="s">
        <v>40</v>
      </c>
    </row>
    <row r="271" spans="1:29" x14ac:dyDescent="0.25">
      <c r="A271" t="str">
        <f>"Raman_"&amp;E271&amp;"_"&amp;B271&amp;"_"&amp;AC271&amp;"_"&amp;TEXT(F271, "000")&amp;"_"&amp;TEXT(G271, "000")&amp;"_"&amp;H271&amp;".csv"</f>
        <v>Raman_EG_Pavlovagyrans_raw_002_005_F2.csv</v>
      </c>
      <c r="B271" t="s">
        <v>255</v>
      </c>
      <c r="C271" t="s">
        <v>30</v>
      </c>
      <c r="D271" t="s">
        <v>30</v>
      </c>
      <c r="E271" t="s">
        <v>31</v>
      </c>
      <c r="F271">
        <v>2</v>
      </c>
      <c r="G271">
        <v>5</v>
      </c>
      <c r="H271" t="s">
        <v>98</v>
      </c>
      <c r="I271" t="s">
        <v>256</v>
      </c>
      <c r="J271" t="s">
        <v>34</v>
      </c>
      <c r="L271" t="s">
        <v>30</v>
      </c>
      <c r="M271">
        <v>22</v>
      </c>
      <c r="N271" t="s">
        <v>80</v>
      </c>
      <c r="O271" t="s">
        <v>242</v>
      </c>
      <c r="P271">
        <v>336</v>
      </c>
      <c r="Q271">
        <v>100</v>
      </c>
      <c r="R271" t="s">
        <v>36</v>
      </c>
      <c r="S271">
        <v>12</v>
      </c>
      <c r="T271">
        <v>12</v>
      </c>
      <c r="U271" t="s">
        <v>112</v>
      </c>
      <c r="V271" t="s">
        <v>37</v>
      </c>
      <c r="W271">
        <v>450</v>
      </c>
      <c r="X271">
        <v>532</v>
      </c>
      <c r="Y271">
        <v>8.3000000000000007</v>
      </c>
      <c r="Z271">
        <v>500</v>
      </c>
      <c r="AA271">
        <v>2000</v>
      </c>
      <c r="AB271">
        <v>50</v>
      </c>
      <c r="AC271" t="s">
        <v>40</v>
      </c>
    </row>
    <row r="272" spans="1:29" x14ac:dyDescent="0.25">
      <c r="A272" t="str">
        <f>"Raman_"&amp;E272&amp;"_"&amp;B272&amp;"_"&amp;AC272&amp;"_"&amp;TEXT(F272, "000")&amp;"_"&amp;TEXT(G272, "000")&amp;"_"&amp;H272&amp;".csv"</f>
        <v>Raman_EG_Pavlovagyrans_raw_002_005_F3.csv</v>
      </c>
      <c r="B272" t="s">
        <v>255</v>
      </c>
      <c r="C272" t="s">
        <v>30</v>
      </c>
      <c r="D272" t="s">
        <v>30</v>
      </c>
      <c r="E272" t="s">
        <v>31</v>
      </c>
      <c r="F272">
        <v>2</v>
      </c>
      <c r="G272">
        <v>5</v>
      </c>
      <c r="H272" t="s">
        <v>99</v>
      </c>
      <c r="I272" t="s">
        <v>256</v>
      </c>
      <c r="J272" t="s">
        <v>34</v>
      </c>
      <c r="L272" t="s">
        <v>30</v>
      </c>
      <c r="M272">
        <v>22</v>
      </c>
      <c r="N272" t="s">
        <v>42</v>
      </c>
      <c r="O272" t="s">
        <v>242</v>
      </c>
      <c r="P272">
        <v>336</v>
      </c>
      <c r="Q272">
        <v>100</v>
      </c>
      <c r="R272" t="s">
        <v>36</v>
      </c>
      <c r="S272">
        <v>12</v>
      </c>
      <c r="T272">
        <v>12</v>
      </c>
      <c r="U272" t="s">
        <v>112</v>
      </c>
      <c r="V272" t="s">
        <v>37</v>
      </c>
      <c r="W272">
        <v>450</v>
      </c>
      <c r="X272">
        <v>532</v>
      </c>
      <c r="Y272">
        <v>8.3000000000000007</v>
      </c>
      <c r="Z272">
        <v>500</v>
      </c>
      <c r="AA272">
        <v>2000</v>
      </c>
      <c r="AB272">
        <v>50</v>
      </c>
      <c r="AC272" t="s">
        <v>40</v>
      </c>
    </row>
    <row r="273" spans="1:29" x14ac:dyDescent="0.25">
      <c r="A273" t="str">
        <f>"Raman_"&amp;E273&amp;"_"&amp;B273&amp;"_"&amp;AC273&amp;"_"&amp;TEXT(F273, "000")&amp;"_"&amp;TEXT(G273, "000")&amp;"_"&amp;H273&amp;".csv"</f>
        <v>Raman_EG_Pavlovagyrans_raw_002_005_F4.csv</v>
      </c>
      <c r="B273" t="s">
        <v>255</v>
      </c>
      <c r="C273" t="s">
        <v>30</v>
      </c>
      <c r="D273" t="s">
        <v>30</v>
      </c>
      <c r="E273" t="s">
        <v>31</v>
      </c>
      <c r="F273">
        <v>2</v>
      </c>
      <c r="G273">
        <v>5</v>
      </c>
      <c r="H273" t="s">
        <v>100</v>
      </c>
      <c r="I273" t="s">
        <v>256</v>
      </c>
      <c r="J273" t="s">
        <v>34</v>
      </c>
      <c r="L273" t="s">
        <v>30</v>
      </c>
      <c r="M273">
        <v>22</v>
      </c>
      <c r="N273" t="s">
        <v>82</v>
      </c>
      <c r="O273" t="s">
        <v>242</v>
      </c>
      <c r="P273">
        <v>336</v>
      </c>
      <c r="Q273">
        <v>100</v>
      </c>
      <c r="R273" t="s">
        <v>36</v>
      </c>
      <c r="S273">
        <v>12</v>
      </c>
      <c r="T273">
        <v>12</v>
      </c>
      <c r="U273" t="s">
        <v>112</v>
      </c>
      <c r="V273" t="s">
        <v>37</v>
      </c>
      <c r="W273">
        <v>450</v>
      </c>
      <c r="X273">
        <v>532</v>
      </c>
      <c r="Y273">
        <v>8.3000000000000007</v>
      </c>
      <c r="Z273">
        <v>500</v>
      </c>
      <c r="AA273">
        <v>2000</v>
      </c>
      <c r="AB273">
        <v>50</v>
      </c>
      <c r="AC273" t="s">
        <v>40</v>
      </c>
    </row>
    <row r="274" spans="1:29" x14ac:dyDescent="0.25">
      <c r="A274" t="str">
        <f>"Raman_"&amp;E274&amp;"_"&amp;B274&amp;"_"&amp;AC274&amp;"_"&amp;TEXT(F274, "000")&amp;"_"&amp;TEXT(G274, "000")&amp;"_"&amp;H274&amp;".csv"</f>
        <v>Raman_EG_Pavlovagyrans_raw_002_005_F5.csv</v>
      </c>
      <c r="B274" t="s">
        <v>255</v>
      </c>
      <c r="C274" t="s">
        <v>30</v>
      </c>
      <c r="D274" t="s">
        <v>30</v>
      </c>
      <c r="E274" t="s">
        <v>31</v>
      </c>
      <c r="F274">
        <v>2</v>
      </c>
      <c r="G274">
        <v>5</v>
      </c>
      <c r="H274" t="s">
        <v>101</v>
      </c>
      <c r="I274" t="s">
        <v>256</v>
      </c>
      <c r="J274" t="s">
        <v>34</v>
      </c>
      <c r="L274" t="s">
        <v>30</v>
      </c>
      <c r="M274">
        <v>22</v>
      </c>
      <c r="N274" t="s">
        <v>44</v>
      </c>
      <c r="O274" t="s">
        <v>242</v>
      </c>
      <c r="P274">
        <v>336</v>
      </c>
      <c r="Q274">
        <v>100</v>
      </c>
      <c r="R274" t="s">
        <v>36</v>
      </c>
      <c r="S274">
        <v>12</v>
      </c>
      <c r="T274">
        <v>12</v>
      </c>
      <c r="U274" t="s">
        <v>112</v>
      </c>
      <c r="V274" t="s">
        <v>37</v>
      </c>
      <c r="W274">
        <v>450</v>
      </c>
      <c r="X274">
        <v>532</v>
      </c>
      <c r="Y274">
        <v>8.3000000000000007</v>
      </c>
      <c r="Z274">
        <v>500</v>
      </c>
      <c r="AA274">
        <v>2000</v>
      </c>
      <c r="AB274">
        <v>50</v>
      </c>
      <c r="AC274" t="s">
        <v>40</v>
      </c>
    </row>
    <row r="275" spans="1:29" x14ac:dyDescent="0.25">
      <c r="A275" t="str">
        <f>"Raman_"&amp;E275&amp;"_"&amp;B275&amp;"_"&amp;AC275&amp;"_"&amp;TEXT(F275, "000")&amp;"_"&amp;TEXT(G275, "000")&amp;"_"&amp;H275&amp;".csv"</f>
        <v>Raman_EG_Pavlovagyrans_raw_002_005_F6.csv</v>
      </c>
      <c r="B275" t="s">
        <v>255</v>
      </c>
      <c r="C275" t="s">
        <v>30</v>
      </c>
      <c r="D275" t="s">
        <v>30</v>
      </c>
      <c r="E275" t="s">
        <v>31</v>
      </c>
      <c r="F275">
        <v>2</v>
      </c>
      <c r="G275">
        <v>5</v>
      </c>
      <c r="H275" t="s">
        <v>102</v>
      </c>
      <c r="I275" t="s">
        <v>256</v>
      </c>
      <c r="J275" t="s">
        <v>34</v>
      </c>
      <c r="L275" t="s">
        <v>30</v>
      </c>
      <c r="M275">
        <v>22</v>
      </c>
      <c r="N275" t="s">
        <v>84</v>
      </c>
      <c r="O275" t="s">
        <v>242</v>
      </c>
      <c r="P275">
        <v>336</v>
      </c>
      <c r="Q275">
        <v>100</v>
      </c>
      <c r="R275" t="s">
        <v>36</v>
      </c>
      <c r="S275">
        <v>12</v>
      </c>
      <c r="T275">
        <v>12</v>
      </c>
      <c r="U275" t="s">
        <v>112</v>
      </c>
      <c r="V275" t="s">
        <v>37</v>
      </c>
      <c r="W275">
        <v>450</v>
      </c>
      <c r="X275">
        <v>532</v>
      </c>
      <c r="Y275">
        <v>8.3000000000000007</v>
      </c>
      <c r="Z275">
        <v>500</v>
      </c>
      <c r="AA275">
        <v>2000</v>
      </c>
      <c r="AB275">
        <v>50</v>
      </c>
      <c r="AC275" t="s">
        <v>40</v>
      </c>
    </row>
    <row r="276" spans="1:29" x14ac:dyDescent="0.25">
      <c r="A276" t="str">
        <f>"Raman_"&amp;E276&amp;"_"&amp;B276&amp;"_"&amp;AC276&amp;"_"&amp;TEXT(F276, "000")&amp;"_"&amp;TEXT(G276, "000")&amp;"_"&amp;H276&amp;".csv"</f>
        <v>Raman_EG_Pavlovagyrans_raw_002_005_F7.csv</v>
      </c>
      <c r="B276" t="s">
        <v>255</v>
      </c>
      <c r="C276" t="s">
        <v>30</v>
      </c>
      <c r="D276" t="s">
        <v>30</v>
      </c>
      <c r="E276" t="s">
        <v>31</v>
      </c>
      <c r="F276">
        <v>2</v>
      </c>
      <c r="G276">
        <v>5</v>
      </c>
      <c r="H276" t="s">
        <v>103</v>
      </c>
      <c r="I276" t="s">
        <v>256</v>
      </c>
      <c r="J276" t="s">
        <v>34</v>
      </c>
      <c r="L276" t="s">
        <v>30</v>
      </c>
      <c r="M276">
        <v>22</v>
      </c>
      <c r="N276" t="s">
        <v>46</v>
      </c>
      <c r="O276" t="s">
        <v>242</v>
      </c>
      <c r="P276">
        <v>336</v>
      </c>
      <c r="Q276">
        <v>100</v>
      </c>
      <c r="R276" t="s">
        <v>36</v>
      </c>
      <c r="S276">
        <v>12</v>
      </c>
      <c r="T276">
        <v>12</v>
      </c>
      <c r="U276" t="s">
        <v>112</v>
      </c>
      <c r="V276" t="s">
        <v>37</v>
      </c>
      <c r="W276">
        <v>450</v>
      </c>
      <c r="X276">
        <v>532</v>
      </c>
      <c r="Y276">
        <v>8.3000000000000007</v>
      </c>
      <c r="Z276">
        <v>500</v>
      </c>
      <c r="AA276">
        <v>2000</v>
      </c>
      <c r="AB276">
        <v>50</v>
      </c>
      <c r="AC276" t="s">
        <v>40</v>
      </c>
    </row>
    <row r="277" spans="1:29" x14ac:dyDescent="0.25">
      <c r="A277" t="str">
        <f>"Raman_"&amp;E277&amp;"_"&amp;B277&amp;"_"&amp;AC277&amp;"_"&amp;TEXT(F277, "000")&amp;"_"&amp;TEXT(G277, "000")&amp;"_"&amp;H277&amp;".csv"</f>
        <v>Raman_EG_Pavlovagyrans_raw_002_005_F8.csv</v>
      </c>
      <c r="B277" t="s">
        <v>255</v>
      </c>
      <c r="C277" t="s">
        <v>30</v>
      </c>
      <c r="D277" t="s">
        <v>30</v>
      </c>
      <c r="E277" t="s">
        <v>31</v>
      </c>
      <c r="F277">
        <v>2</v>
      </c>
      <c r="G277">
        <v>5</v>
      </c>
      <c r="H277" t="s">
        <v>104</v>
      </c>
      <c r="I277" t="s">
        <v>256</v>
      </c>
      <c r="J277" t="s">
        <v>34</v>
      </c>
      <c r="L277" t="s">
        <v>30</v>
      </c>
      <c r="M277">
        <v>22</v>
      </c>
      <c r="N277" t="s">
        <v>86</v>
      </c>
      <c r="O277" t="s">
        <v>242</v>
      </c>
      <c r="P277">
        <v>336</v>
      </c>
      <c r="Q277">
        <v>100</v>
      </c>
      <c r="R277" t="s">
        <v>36</v>
      </c>
      <c r="S277">
        <v>12</v>
      </c>
      <c r="T277">
        <v>12</v>
      </c>
      <c r="U277" t="s">
        <v>112</v>
      </c>
      <c r="V277" t="s">
        <v>37</v>
      </c>
      <c r="W277">
        <v>450</v>
      </c>
      <c r="X277">
        <v>532</v>
      </c>
      <c r="Y277">
        <v>8.3000000000000007</v>
      </c>
      <c r="Z277">
        <v>500</v>
      </c>
      <c r="AA277">
        <v>2000</v>
      </c>
      <c r="AB277">
        <v>50</v>
      </c>
      <c r="AC277" t="s">
        <v>40</v>
      </c>
    </row>
    <row r="278" spans="1:29" x14ac:dyDescent="0.25">
      <c r="A278" t="str">
        <f>"Raman_"&amp;E278&amp;"_"&amp;B278&amp;"_"&amp;AC278&amp;"_"&amp;TEXT(F278, "000")&amp;"_"&amp;TEXT(G278, "000")&amp;"_"&amp;H278&amp;".csv"</f>
        <v>Raman_EG_Pavlovagyrans_raw_002_006_A1.csv</v>
      </c>
      <c r="B278" t="s">
        <v>255</v>
      </c>
      <c r="C278" t="s">
        <v>30</v>
      </c>
      <c r="D278" t="s">
        <v>30</v>
      </c>
      <c r="E278" t="s">
        <v>31</v>
      </c>
      <c r="F278">
        <v>2</v>
      </c>
      <c r="G278">
        <v>6</v>
      </c>
      <c r="H278" t="s">
        <v>110</v>
      </c>
      <c r="I278" t="s">
        <v>256</v>
      </c>
      <c r="J278" t="s">
        <v>34</v>
      </c>
      <c r="L278" t="s">
        <v>30</v>
      </c>
      <c r="M278">
        <v>22</v>
      </c>
      <c r="N278" t="s">
        <v>48</v>
      </c>
      <c r="O278" t="s">
        <v>243</v>
      </c>
      <c r="P278">
        <v>336</v>
      </c>
      <c r="Q278">
        <v>100</v>
      </c>
      <c r="R278" t="s">
        <v>36</v>
      </c>
      <c r="S278">
        <v>12</v>
      </c>
      <c r="T278">
        <v>12</v>
      </c>
      <c r="U278" t="s">
        <v>112</v>
      </c>
      <c r="V278" t="s">
        <v>37</v>
      </c>
      <c r="W278">
        <v>450</v>
      </c>
      <c r="X278">
        <v>532</v>
      </c>
      <c r="Y278">
        <v>8.3000000000000007</v>
      </c>
      <c r="Z278">
        <v>500</v>
      </c>
      <c r="AA278">
        <v>2000</v>
      </c>
      <c r="AB278">
        <v>50</v>
      </c>
      <c r="AC278" t="s">
        <v>40</v>
      </c>
    </row>
    <row r="279" spans="1:29" x14ac:dyDescent="0.25">
      <c r="A279" t="str">
        <f>"Raman_"&amp;E279&amp;"_"&amp;B279&amp;"_"&amp;AC279&amp;"_"&amp;TEXT(F279, "000")&amp;"_"&amp;TEXT(G279, "000")&amp;"_"&amp;H279&amp;".csv"</f>
        <v>Raman_EG_Pavlovagyrans_raw_002_006_A2.csv</v>
      </c>
      <c r="B279" t="s">
        <v>255</v>
      </c>
      <c r="C279" t="s">
        <v>30</v>
      </c>
      <c r="D279" t="s">
        <v>30</v>
      </c>
      <c r="E279" t="s">
        <v>31</v>
      </c>
      <c r="F279">
        <v>2</v>
      </c>
      <c r="G279">
        <v>6</v>
      </c>
      <c r="H279" t="s">
        <v>114</v>
      </c>
      <c r="I279" t="s">
        <v>256</v>
      </c>
      <c r="J279" t="s">
        <v>34</v>
      </c>
      <c r="L279" t="s">
        <v>30</v>
      </c>
      <c r="M279">
        <v>22</v>
      </c>
      <c r="N279" t="s">
        <v>88</v>
      </c>
      <c r="O279" t="s">
        <v>243</v>
      </c>
      <c r="P279">
        <v>336</v>
      </c>
      <c r="Q279">
        <v>100</v>
      </c>
      <c r="R279" t="s">
        <v>36</v>
      </c>
      <c r="S279">
        <v>12</v>
      </c>
      <c r="T279">
        <v>12</v>
      </c>
      <c r="U279" t="s">
        <v>112</v>
      </c>
      <c r="V279" t="s">
        <v>37</v>
      </c>
      <c r="W279">
        <v>450</v>
      </c>
      <c r="X279">
        <v>532</v>
      </c>
      <c r="Y279">
        <v>8.3000000000000007</v>
      </c>
      <c r="Z279">
        <v>500</v>
      </c>
      <c r="AA279">
        <v>2000</v>
      </c>
      <c r="AB279">
        <v>50</v>
      </c>
      <c r="AC279" t="s">
        <v>40</v>
      </c>
    </row>
    <row r="280" spans="1:29" x14ac:dyDescent="0.25">
      <c r="A280" t="str">
        <f>"Raman_"&amp;E280&amp;"_"&amp;B280&amp;"_"&amp;AC280&amp;"_"&amp;TEXT(F280, "000")&amp;"_"&amp;TEXT(G280, "000")&amp;"_"&amp;H280&amp;".csv"</f>
        <v>Raman_EG_Pavlovagyrans_raw_002_006_A3.csv</v>
      </c>
      <c r="B280" t="s">
        <v>255</v>
      </c>
      <c r="C280" t="s">
        <v>30</v>
      </c>
      <c r="D280" t="s">
        <v>30</v>
      </c>
      <c r="E280" t="s">
        <v>31</v>
      </c>
      <c r="F280">
        <v>2</v>
      </c>
      <c r="G280">
        <v>6</v>
      </c>
      <c r="H280" t="s">
        <v>116</v>
      </c>
      <c r="I280" t="s">
        <v>256</v>
      </c>
      <c r="J280" t="s">
        <v>34</v>
      </c>
      <c r="L280" t="s">
        <v>30</v>
      </c>
      <c r="M280">
        <v>22</v>
      </c>
      <c r="N280" t="s">
        <v>50</v>
      </c>
      <c r="O280" t="s">
        <v>243</v>
      </c>
      <c r="P280">
        <v>336</v>
      </c>
      <c r="Q280">
        <v>100</v>
      </c>
      <c r="R280" t="s">
        <v>36</v>
      </c>
      <c r="S280">
        <v>12</v>
      </c>
      <c r="T280">
        <v>12</v>
      </c>
      <c r="U280" t="s">
        <v>112</v>
      </c>
      <c r="V280" t="s">
        <v>37</v>
      </c>
      <c r="W280">
        <v>450</v>
      </c>
      <c r="X280">
        <v>532</v>
      </c>
      <c r="Y280">
        <v>8.3000000000000007</v>
      </c>
      <c r="Z280">
        <v>500</v>
      </c>
      <c r="AA280">
        <v>2000</v>
      </c>
      <c r="AB280">
        <v>50</v>
      </c>
      <c r="AC280" t="s">
        <v>40</v>
      </c>
    </row>
    <row r="281" spans="1:29" x14ac:dyDescent="0.25">
      <c r="A281" t="str">
        <f>"Raman_"&amp;E281&amp;"_"&amp;B281&amp;"_"&amp;AC281&amp;"_"&amp;TEXT(F281, "000")&amp;"_"&amp;TEXT(G281, "000")&amp;"_"&amp;H281&amp;".csv"</f>
        <v>Raman_EG_Pavlovagyrans_raw_002_006_A4.csv</v>
      </c>
      <c r="B281" t="s">
        <v>255</v>
      </c>
      <c r="C281" t="s">
        <v>30</v>
      </c>
      <c r="D281" t="s">
        <v>30</v>
      </c>
      <c r="E281" t="s">
        <v>31</v>
      </c>
      <c r="F281">
        <v>2</v>
      </c>
      <c r="G281">
        <v>6</v>
      </c>
      <c r="H281" t="s">
        <v>118</v>
      </c>
      <c r="I281" t="s">
        <v>256</v>
      </c>
      <c r="J281" t="s">
        <v>34</v>
      </c>
      <c r="L281" t="s">
        <v>30</v>
      </c>
      <c r="M281">
        <v>22</v>
      </c>
      <c r="N281" t="s">
        <v>90</v>
      </c>
      <c r="O281" t="s">
        <v>243</v>
      </c>
      <c r="P281">
        <v>336</v>
      </c>
      <c r="Q281">
        <v>100</v>
      </c>
      <c r="R281" t="s">
        <v>36</v>
      </c>
      <c r="S281">
        <v>12</v>
      </c>
      <c r="T281">
        <v>12</v>
      </c>
      <c r="U281" t="s">
        <v>112</v>
      </c>
      <c r="V281" t="s">
        <v>37</v>
      </c>
      <c r="W281">
        <v>450</v>
      </c>
      <c r="X281">
        <v>532</v>
      </c>
      <c r="Y281">
        <v>8.3000000000000007</v>
      </c>
      <c r="Z281">
        <v>500</v>
      </c>
      <c r="AA281">
        <v>2000</v>
      </c>
      <c r="AB281">
        <v>50</v>
      </c>
      <c r="AC281" t="s">
        <v>40</v>
      </c>
    </row>
    <row r="282" spans="1:29" x14ac:dyDescent="0.25">
      <c r="A282" t="str">
        <f>"Raman_"&amp;E282&amp;"_"&amp;B282&amp;"_"&amp;AC282&amp;"_"&amp;TEXT(F282, "000")&amp;"_"&amp;TEXT(G282, "000")&amp;"_"&amp;H282&amp;".csv"</f>
        <v>Raman_EG_Pavlovagyrans_raw_002_006_A5.csv</v>
      </c>
      <c r="B282" t="s">
        <v>255</v>
      </c>
      <c r="C282" t="s">
        <v>30</v>
      </c>
      <c r="D282" t="s">
        <v>30</v>
      </c>
      <c r="E282" t="s">
        <v>31</v>
      </c>
      <c r="F282">
        <v>2</v>
      </c>
      <c r="G282">
        <v>6</v>
      </c>
      <c r="H282" t="s">
        <v>120</v>
      </c>
      <c r="I282" t="s">
        <v>256</v>
      </c>
      <c r="J282" t="s">
        <v>34</v>
      </c>
      <c r="L282" t="s">
        <v>30</v>
      </c>
      <c r="M282">
        <v>22</v>
      </c>
      <c r="N282" t="s">
        <v>52</v>
      </c>
      <c r="O282" t="s">
        <v>243</v>
      </c>
      <c r="P282">
        <v>336</v>
      </c>
      <c r="Q282">
        <v>100</v>
      </c>
      <c r="R282" t="s">
        <v>36</v>
      </c>
      <c r="S282">
        <v>12</v>
      </c>
      <c r="T282">
        <v>12</v>
      </c>
      <c r="U282" t="s">
        <v>112</v>
      </c>
      <c r="V282" t="s">
        <v>37</v>
      </c>
      <c r="W282">
        <v>450</v>
      </c>
      <c r="X282">
        <v>532</v>
      </c>
      <c r="Y282">
        <v>8.3000000000000007</v>
      </c>
      <c r="Z282">
        <v>500</v>
      </c>
      <c r="AA282">
        <v>2000</v>
      </c>
      <c r="AB282">
        <v>50</v>
      </c>
      <c r="AC282" t="s">
        <v>40</v>
      </c>
    </row>
    <row r="283" spans="1:29" x14ac:dyDescent="0.25">
      <c r="A283" t="str">
        <f>"Raman_"&amp;E283&amp;"_"&amp;B283&amp;"_"&amp;AC283&amp;"_"&amp;TEXT(F283, "000")&amp;"_"&amp;TEXT(G283, "000")&amp;"_"&amp;H283&amp;".csv"</f>
        <v>Raman_EG_Pavlovagyrans_raw_002_006_A6.csv</v>
      </c>
      <c r="B283" t="s">
        <v>255</v>
      </c>
      <c r="C283" t="s">
        <v>30</v>
      </c>
      <c r="D283" t="s">
        <v>30</v>
      </c>
      <c r="E283" t="s">
        <v>31</v>
      </c>
      <c r="F283">
        <v>2</v>
      </c>
      <c r="G283">
        <v>6</v>
      </c>
      <c r="H283" t="s">
        <v>122</v>
      </c>
      <c r="I283" t="s">
        <v>256</v>
      </c>
      <c r="J283" t="s">
        <v>34</v>
      </c>
      <c r="L283" t="s">
        <v>30</v>
      </c>
      <c r="M283">
        <v>22</v>
      </c>
      <c r="N283" t="s">
        <v>92</v>
      </c>
      <c r="O283" t="s">
        <v>243</v>
      </c>
      <c r="P283">
        <v>336</v>
      </c>
      <c r="Q283">
        <v>100</v>
      </c>
      <c r="R283" t="s">
        <v>36</v>
      </c>
      <c r="S283">
        <v>12</v>
      </c>
      <c r="T283">
        <v>12</v>
      </c>
      <c r="U283" t="s">
        <v>112</v>
      </c>
      <c r="V283" t="s">
        <v>37</v>
      </c>
      <c r="W283">
        <v>450</v>
      </c>
      <c r="X283">
        <v>532</v>
      </c>
      <c r="Y283">
        <v>8.3000000000000007</v>
      </c>
      <c r="Z283">
        <v>500</v>
      </c>
      <c r="AA283">
        <v>2000</v>
      </c>
      <c r="AB283">
        <v>50</v>
      </c>
      <c r="AC283" t="s">
        <v>40</v>
      </c>
    </row>
    <row r="284" spans="1:29" x14ac:dyDescent="0.25">
      <c r="A284" t="str">
        <f>"Raman_"&amp;E284&amp;"_"&amp;B284&amp;"_"&amp;AC284&amp;"_"&amp;TEXT(F284, "000")&amp;"_"&amp;TEXT(G284, "000")&amp;"_"&amp;H284&amp;".csv"</f>
        <v>Raman_EG_Pavlovagyrans_raw_002_006_A7.csv</v>
      </c>
      <c r="B284" t="s">
        <v>255</v>
      </c>
      <c r="C284" t="s">
        <v>30</v>
      </c>
      <c r="D284" t="s">
        <v>30</v>
      </c>
      <c r="E284" t="s">
        <v>31</v>
      </c>
      <c r="F284">
        <v>2</v>
      </c>
      <c r="G284">
        <v>6</v>
      </c>
      <c r="H284" t="s">
        <v>124</v>
      </c>
      <c r="I284" t="s">
        <v>256</v>
      </c>
      <c r="J284" t="s">
        <v>34</v>
      </c>
      <c r="L284" t="s">
        <v>30</v>
      </c>
      <c r="M284">
        <v>22</v>
      </c>
      <c r="N284" t="s">
        <v>54</v>
      </c>
      <c r="O284" t="s">
        <v>243</v>
      </c>
      <c r="P284">
        <v>336</v>
      </c>
      <c r="Q284">
        <v>100</v>
      </c>
      <c r="R284" t="s">
        <v>36</v>
      </c>
      <c r="S284">
        <v>12</v>
      </c>
      <c r="T284">
        <v>12</v>
      </c>
      <c r="U284" t="s">
        <v>112</v>
      </c>
      <c r="V284" t="s">
        <v>37</v>
      </c>
      <c r="W284">
        <v>450</v>
      </c>
      <c r="X284">
        <v>532</v>
      </c>
      <c r="Y284">
        <v>8.3000000000000007</v>
      </c>
      <c r="Z284">
        <v>500</v>
      </c>
      <c r="AA284">
        <v>2000</v>
      </c>
      <c r="AB284">
        <v>50</v>
      </c>
      <c r="AC284" t="s">
        <v>40</v>
      </c>
    </row>
    <row r="285" spans="1:29" x14ac:dyDescent="0.25">
      <c r="A285" t="str">
        <f>"Raman_"&amp;E285&amp;"_"&amp;B285&amp;"_"&amp;AC285&amp;"_"&amp;TEXT(F285, "000")&amp;"_"&amp;TEXT(G285, "000")&amp;"_"&amp;H285&amp;".csv"</f>
        <v>Raman_EG_Pavlovagyrans_raw_002_006_A8.csv</v>
      </c>
      <c r="B285" t="s">
        <v>255</v>
      </c>
      <c r="C285" t="s">
        <v>30</v>
      </c>
      <c r="D285" t="s">
        <v>30</v>
      </c>
      <c r="E285" t="s">
        <v>31</v>
      </c>
      <c r="F285">
        <v>2</v>
      </c>
      <c r="G285">
        <v>6</v>
      </c>
      <c r="H285" t="s">
        <v>126</v>
      </c>
      <c r="I285" t="s">
        <v>256</v>
      </c>
      <c r="J285" t="s">
        <v>34</v>
      </c>
      <c r="L285" t="s">
        <v>30</v>
      </c>
      <c r="M285">
        <v>22</v>
      </c>
      <c r="N285" t="s">
        <v>94</v>
      </c>
      <c r="O285" t="s">
        <v>243</v>
      </c>
      <c r="P285">
        <v>336</v>
      </c>
      <c r="Q285">
        <v>100</v>
      </c>
      <c r="R285" t="s">
        <v>36</v>
      </c>
      <c r="S285">
        <v>12</v>
      </c>
      <c r="T285">
        <v>12</v>
      </c>
      <c r="U285" t="s">
        <v>112</v>
      </c>
      <c r="V285" t="s">
        <v>37</v>
      </c>
      <c r="W285">
        <v>450</v>
      </c>
      <c r="X285">
        <v>532</v>
      </c>
      <c r="Y285">
        <v>8.3000000000000007</v>
      </c>
      <c r="Z285">
        <v>500</v>
      </c>
      <c r="AA285">
        <v>2000</v>
      </c>
      <c r="AB285">
        <v>50</v>
      </c>
      <c r="AC285" t="s">
        <v>40</v>
      </c>
    </row>
    <row r="286" spans="1:29" x14ac:dyDescent="0.25">
      <c r="A286" t="str">
        <f>"Raman_"&amp;E286&amp;"_"&amp;B286&amp;"_"&amp;AC286&amp;"_"&amp;TEXT(F286, "000")&amp;"_"&amp;TEXT(G286, "000")&amp;"_"&amp;H286&amp;".csv"</f>
        <v>Raman_EG_Pavlovagyrans_raw_002_006_A9.csv</v>
      </c>
      <c r="B286" t="s">
        <v>255</v>
      </c>
      <c r="C286" t="s">
        <v>30</v>
      </c>
      <c r="D286" t="s">
        <v>30</v>
      </c>
      <c r="E286" t="s">
        <v>31</v>
      </c>
      <c r="F286">
        <v>2</v>
      </c>
      <c r="G286">
        <v>6</v>
      </c>
      <c r="H286" t="s">
        <v>182</v>
      </c>
      <c r="I286" t="s">
        <v>256</v>
      </c>
      <c r="J286" t="s">
        <v>34</v>
      </c>
      <c r="L286" t="s">
        <v>30</v>
      </c>
      <c r="M286">
        <v>22</v>
      </c>
      <c r="N286" t="s">
        <v>56</v>
      </c>
      <c r="O286" t="s">
        <v>243</v>
      </c>
      <c r="P286">
        <v>336</v>
      </c>
      <c r="Q286">
        <v>100</v>
      </c>
      <c r="R286" t="s">
        <v>36</v>
      </c>
      <c r="S286">
        <v>12</v>
      </c>
      <c r="T286">
        <v>12</v>
      </c>
      <c r="U286" t="s">
        <v>112</v>
      </c>
      <c r="V286" t="s">
        <v>37</v>
      </c>
      <c r="W286">
        <v>450</v>
      </c>
      <c r="X286">
        <v>532</v>
      </c>
      <c r="Y286">
        <v>8.3000000000000007</v>
      </c>
      <c r="Z286">
        <v>500</v>
      </c>
      <c r="AA286">
        <v>2000</v>
      </c>
      <c r="AB286">
        <v>50</v>
      </c>
      <c r="AC286" t="s">
        <v>40</v>
      </c>
    </row>
    <row r="287" spans="1:29" x14ac:dyDescent="0.25">
      <c r="A287" t="str">
        <f>"Raman_"&amp;E287&amp;"_"&amp;B287&amp;"_"&amp;AC287&amp;"_"&amp;TEXT(F287, "000")&amp;"_"&amp;TEXT(G287, "000")&amp;"_"&amp;H287&amp;".csv"</f>
        <v>Raman_EG_Pavlovagyrans_raw_002_006_A10.csv</v>
      </c>
      <c r="B287" t="s">
        <v>255</v>
      </c>
      <c r="C287" t="s">
        <v>30</v>
      </c>
      <c r="D287" t="s">
        <v>30</v>
      </c>
      <c r="E287" t="s">
        <v>31</v>
      </c>
      <c r="F287">
        <v>2</v>
      </c>
      <c r="G287">
        <v>6</v>
      </c>
      <c r="H287" t="s">
        <v>184</v>
      </c>
      <c r="I287" t="s">
        <v>256</v>
      </c>
      <c r="J287" t="s">
        <v>34</v>
      </c>
      <c r="L287" t="s">
        <v>30</v>
      </c>
      <c r="M287">
        <v>22</v>
      </c>
      <c r="N287" t="s">
        <v>96</v>
      </c>
      <c r="O287" t="s">
        <v>243</v>
      </c>
      <c r="P287">
        <v>336</v>
      </c>
      <c r="Q287">
        <v>100</v>
      </c>
      <c r="R287" t="s">
        <v>36</v>
      </c>
      <c r="S287">
        <v>12</v>
      </c>
      <c r="T287">
        <v>12</v>
      </c>
      <c r="U287" t="s">
        <v>112</v>
      </c>
      <c r="V287" t="s">
        <v>37</v>
      </c>
      <c r="W287">
        <v>450</v>
      </c>
      <c r="X287">
        <v>532</v>
      </c>
      <c r="Y287">
        <v>8.3000000000000007</v>
      </c>
      <c r="Z287">
        <v>500</v>
      </c>
      <c r="AA287">
        <v>2000</v>
      </c>
      <c r="AB287">
        <v>50</v>
      </c>
      <c r="AC287" t="s">
        <v>40</v>
      </c>
    </row>
    <row r="288" spans="1:29" x14ac:dyDescent="0.25">
      <c r="A288" t="str">
        <f>"Raman_"&amp;E288&amp;"_"&amp;B288&amp;"_"&amp;AC288&amp;"_"&amp;TEXT(F288, "000")&amp;"_"&amp;TEXT(G288, "000")&amp;"_"&amp;H288&amp;".csv"</f>
        <v>Raman_EG_Pavlovagyrans_raw_002_006_A11.csv</v>
      </c>
      <c r="B288" t="s">
        <v>255</v>
      </c>
      <c r="C288" t="s">
        <v>30</v>
      </c>
      <c r="D288" t="s">
        <v>30</v>
      </c>
      <c r="E288" t="s">
        <v>31</v>
      </c>
      <c r="F288">
        <v>2</v>
      </c>
      <c r="G288">
        <v>6</v>
      </c>
      <c r="H288" t="s">
        <v>186</v>
      </c>
      <c r="I288" t="s">
        <v>256</v>
      </c>
      <c r="J288" t="s">
        <v>34</v>
      </c>
      <c r="L288" t="s">
        <v>30</v>
      </c>
      <c r="M288">
        <v>22</v>
      </c>
      <c r="N288" t="s">
        <v>58</v>
      </c>
      <c r="O288" t="s">
        <v>243</v>
      </c>
      <c r="P288">
        <v>336</v>
      </c>
      <c r="Q288">
        <v>100</v>
      </c>
      <c r="R288" t="s">
        <v>36</v>
      </c>
      <c r="S288">
        <v>12</v>
      </c>
      <c r="T288">
        <v>12</v>
      </c>
      <c r="U288" t="s">
        <v>112</v>
      </c>
      <c r="V288" t="s">
        <v>37</v>
      </c>
      <c r="W288">
        <v>450</v>
      </c>
      <c r="X288">
        <v>532</v>
      </c>
      <c r="Y288">
        <v>8.3000000000000007</v>
      </c>
      <c r="Z288">
        <v>500</v>
      </c>
      <c r="AA288">
        <v>2000</v>
      </c>
      <c r="AB288">
        <v>50</v>
      </c>
      <c r="AC288" t="s">
        <v>40</v>
      </c>
    </row>
    <row r="289" spans="1:29" x14ac:dyDescent="0.25">
      <c r="A289" t="str">
        <f>"Raman_"&amp;E289&amp;"_"&amp;B289&amp;"_"&amp;AC289&amp;"_"&amp;TEXT(F289, "000")&amp;"_"&amp;TEXT(G289, "000")&amp;"_"&amp;H289&amp;".csv"</f>
        <v>Raman_EG_Pavlovagyrans_raw_002_006_B1.csv</v>
      </c>
      <c r="B289" t="s">
        <v>255</v>
      </c>
      <c r="C289" t="s">
        <v>30</v>
      </c>
      <c r="D289" t="s">
        <v>30</v>
      </c>
      <c r="E289" t="s">
        <v>31</v>
      </c>
      <c r="F289">
        <v>2</v>
      </c>
      <c r="G289">
        <v>6</v>
      </c>
      <c r="H289" t="s">
        <v>128</v>
      </c>
      <c r="I289" t="s">
        <v>256</v>
      </c>
      <c r="J289" t="s">
        <v>34</v>
      </c>
      <c r="L289" t="s">
        <v>30</v>
      </c>
      <c r="M289">
        <v>22</v>
      </c>
      <c r="N289" t="s">
        <v>48</v>
      </c>
      <c r="O289" t="s">
        <v>243</v>
      </c>
      <c r="P289">
        <v>336</v>
      </c>
      <c r="Q289">
        <v>100</v>
      </c>
      <c r="R289" t="s">
        <v>36</v>
      </c>
      <c r="S289">
        <v>12</v>
      </c>
      <c r="T289">
        <v>12</v>
      </c>
      <c r="U289" t="s">
        <v>112</v>
      </c>
      <c r="V289" t="s">
        <v>37</v>
      </c>
      <c r="W289">
        <v>450</v>
      </c>
      <c r="X289">
        <v>532</v>
      </c>
      <c r="Y289">
        <v>8.3000000000000007</v>
      </c>
      <c r="Z289">
        <v>500</v>
      </c>
      <c r="AA289">
        <v>2000</v>
      </c>
      <c r="AB289">
        <v>50</v>
      </c>
      <c r="AC289" t="s">
        <v>40</v>
      </c>
    </row>
    <row r="290" spans="1:29" x14ac:dyDescent="0.25">
      <c r="A290" t="str">
        <f>"Raman_"&amp;E290&amp;"_"&amp;B290&amp;"_"&amp;AC290&amp;"_"&amp;TEXT(F290, "000")&amp;"_"&amp;TEXT(G290, "000")&amp;"_"&amp;H290&amp;".csv"</f>
        <v>Raman_EG_Pavlovagyrans_raw_002_006_B2.csv</v>
      </c>
      <c r="B290" t="s">
        <v>255</v>
      </c>
      <c r="C290" t="s">
        <v>30</v>
      </c>
      <c r="D290" t="s">
        <v>30</v>
      </c>
      <c r="E290" t="s">
        <v>31</v>
      </c>
      <c r="F290">
        <v>2</v>
      </c>
      <c r="G290">
        <v>6</v>
      </c>
      <c r="H290" t="s">
        <v>32</v>
      </c>
      <c r="I290" t="s">
        <v>256</v>
      </c>
      <c r="J290" t="s">
        <v>34</v>
      </c>
      <c r="L290" t="s">
        <v>30</v>
      </c>
      <c r="M290">
        <v>22</v>
      </c>
      <c r="N290" t="s">
        <v>88</v>
      </c>
      <c r="O290" t="s">
        <v>243</v>
      </c>
      <c r="P290">
        <v>336</v>
      </c>
      <c r="Q290">
        <v>100</v>
      </c>
      <c r="R290" t="s">
        <v>36</v>
      </c>
      <c r="S290">
        <v>12</v>
      </c>
      <c r="T290">
        <v>12</v>
      </c>
      <c r="U290" t="s">
        <v>112</v>
      </c>
      <c r="V290" t="s">
        <v>37</v>
      </c>
      <c r="W290">
        <v>450</v>
      </c>
      <c r="X290">
        <v>532</v>
      </c>
      <c r="Y290">
        <v>8.3000000000000007</v>
      </c>
      <c r="Z290">
        <v>500</v>
      </c>
      <c r="AA290">
        <v>2000</v>
      </c>
      <c r="AB290">
        <v>50</v>
      </c>
      <c r="AC290" t="s">
        <v>40</v>
      </c>
    </row>
    <row r="291" spans="1:29" x14ac:dyDescent="0.25">
      <c r="A291" t="str">
        <f>"Raman_"&amp;E291&amp;"_"&amp;B291&amp;"_"&amp;AC291&amp;"_"&amp;TEXT(F291, "000")&amp;"_"&amp;TEXT(G291, "000")&amp;"_"&amp;H291&amp;".csv"</f>
        <v>Raman_EG_Pavlovagyrans_raw_002_006_B3.csv</v>
      </c>
      <c r="B291" t="s">
        <v>255</v>
      </c>
      <c r="C291" t="s">
        <v>30</v>
      </c>
      <c r="D291" t="s">
        <v>30</v>
      </c>
      <c r="E291" t="s">
        <v>31</v>
      </c>
      <c r="F291">
        <v>2</v>
      </c>
      <c r="G291">
        <v>6</v>
      </c>
      <c r="H291" t="s">
        <v>41</v>
      </c>
      <c r="I291" t="s">
        <v>256</v>
      </c>
      <c r="J291" t="s">
        <v>34</v>
      </c>
      <c r="L291" t="s">
        <v>30</v>
      </c>
      <c r="M291">
        <v>22</v>
      </c>
      <c r="N291" t="s">
        <v>50</v>
      </c>
      <c r="O291" t="s">
        <v>243</v>
      </c>
      <c r="P291">
        <v>336</v>
      </c>
      <c r="Q291">
        <v>100</v>
      </c>
      <c r="R291" t="s">
        <v>36</v>
      </c>
      <c r="S291">
        <v>12</v>
      </c>
      <c r="T291">
        <v>12</v>
      </c>
      <c r="U291" t="s">
        <v>112</v>
      </c>
      <c r="V291" t="s">
        <v>37</v>
      </c>
      <c r="W291">
        <v>450</v>
      </c>
      <c r="X291">
        <v>532</v>
      </c>
      <c r="Y291">
        <v>8.3000000000000007</v>
      </c>
      <c r="Z291">
        <v>500</v>
      </c>
      <c r="AA291">
        <v>2000</v>
      </c>
      <c r="AB291">
        <v>50</v>
      </c>
      <c r="AC291" t="s">
        <v>40</v>
      </c>
    </row>
    <row r="292" spans="1:29" x14ac:dyDescent="0.25">
      <c r="A292" t="str">
        <f>"Raman_"&amp;E292&amp;"_"&amp;B292&amp;"_"&amp;AC292&amp;"_"&amp;TEXT(F292, "000")&amp;"_"&amp;TEXT(G292, "000")&amp;"_"&amp;H292&amp;".csv"</f>
        <v>Raman_EG_Pavlovagyrans_raw_002_006_B4.csv</v>
      </c>
      <c r="B292" t="s">
        <v>255</v>
      </c>
      <c r="C292" t="s">
        <v>30</v>
      </c>
      <c r="D292" t="s">
        <v>30</v>
      </c>
      <c r="E292" t="s">
        <v>31</v>
      </c>
      <c r="F292">
        <v>2</v>
      </c>
      <c r="G292">
        <v>6</v>
      </c>
      <c r="H292" t="s">
        <v>43</v>
      </c>
      <c r="I292" t="s">
        <v>256</v>
      </c>
      <c r="J292" t="s">
        <v>34</v>
      </c>
      <c r="L292" t="s">
        <v>30</v>
      </c>
      <c r="M292">
        <v>22</v>
      </c>
      <c r="N292" t="s">
        <v>90</v>
      </c>
      <c r="O292" t="s">
        <v>243</v>
      </c>
      <c r="P292">
        <v>336</v>
      </c>
      <c r="Q292">
        <v>100</v>
      </c>
      <c r="R292" t="s">
        <v>36</v>
      </c>
      <c r="S292">
        <v>12</v>
      </c>
      <c r="T292">
        <v>12</v>
      </c>
      <c r="U292" t="s">
        <v>112</v>
      </c>
      <c r="V292" t="s">
        <v>37</v>
      </c>
      <c r="W292">
        <v>450</v>
      </c>
      <c r="X292">
        <v>532</v>
      </c>
      <c r="Y292">
        <v>8.3000000000000007</v>
      </c>
      <c r="Z292">
        <v>500</v>
      </c>
      <c r="AA292">
        <v>2000</v>
      </c>
      <c r="AB292">
        <v>50</v>
      </c>
      <c r="AC292" t="s">
        <v>40</v>
      </c>
    </row>
    <row r="293" spans="1:29" x14ac:dyDescent="0.25">
      <c r="A293" t="str">
        <f>"Raman_"&amp;E293&amp;"_"&amp;B293&amp;"_"&amp;AC293&amp;"_"&amp;TEXT(F293, "000")&amp;"_"&amp;TEXT(G293, "000")&amp;"_"&amp;H293&amp;".csv"</f>
        <v>Raman_EG_Pavlovagyrans_raw_002_006_B5.csv</v>
      </c>
      <c r="B293" t="s">
        <v>255</v>
      </c>
      <c r="C293" t="s">
        <v>30</v>
      </c>
      <c r="D293" t="s">
        <v>30</v>
      </c>
      <c r="E293" t="s">
        <v>31</v>
      </c>
      <c r="F293">
        <v>2</v>
      </c>
      <c r="G293">
        <v>6</v>
      </c>
      <c r="H293" t="s">
        <v>45</v>
      </c>
      <c r="I293" t="s">
        <v>256</v>
      </c>
      <c r="J293" t="s">
        <v>34</v>
      </c>
      <c r="L293" t="s">
        <v>30</v>
      </c>
      <c r="M293">
        <v>22</v>
      </c>
      <c r="N293" t="s">
        <v>52</v>
      </c>
      <c r="O293" t="s">
        <v>243</v>
      </c>
      <c r="P293">
        <v>336</v>
      </c>
      <c r="Q293">
        <v>100</v>
      </c>
      <c r="R293" t="s">
        <v>36</v>
      </c>
      <c r="S293">
        <v>12</v>
      </c>
      <c r="T293">
        <v>12</v>
      </c>
      <c r="U293" t="s">
        <v>112</v>
      </c>
      <c r="V293" t="s">
        <v>37</v>
      </c>
      <c r="W293">
        <v>450</v>
      </c>
      <c r="X293">
        <v>532</v>
      </c>
      <c r="Y293">
        <v>8.3000000000000007</v>
      </c>
      <c r="Z293">
        <v>500</v>
      </c>
      <c r="AA293">
        <v>2000</v>
      </c>
      <c r="AB293">
        <v>50</v>
      </c>
      <c r="AC293" t="s">
        <v>40</v>
      </c>
    </row>
    <row r="294" spans="1:29" x14ac:dyDescent="0.25">
      <c r="A294" t="str">
        <f>"Raman_"&amp;E294&amp;"_"&amp;B294&amp;"_"&amp;AC294&amp;"_"&amp;TEXT(F294, "000")&amp;"_"&amp;TEXT(G294, "000")&amp;"_"&amp;H294&amp;".csv"</f>
        <v>Raman_EG_Pavlovagyrans_raw_002_006_B6.csv</v>
      </c>
      <c r="B294" t="s">
        <v>255</v>
      </c>
      <c r="C294" t="s">
        <v>30</v>
      </c>
      <c r="D294" t="s">
        <v>30</v>
      </c>
      <c r="E294" t="s">
        <v>31</v>
      </c>
      <c r="F294">
        <v>2</v>
      </c>
      <c r="G294">
        <v>6</v>
      </c>
      <c r="H294" t="s">
        <v>47</v>
      </c>
      <c r="I294" t="s">
        <v>256</v>
      </c>
      <c r="J294" t="s">
        <v>34</v>
      </c>
      <c r="L294" t="s">
        <v>30</v>
      </c>
      <c r="M294">
        <v>22</v>
      </c>
      <c r="N294" t="s">
        <v>92</v>
      </c>
      <c r="O294" t="s">
        <v>243</v>
      </c>
      <c r="P294">
        <v>336</v>
      </c>
      <c r="Q294">
        <v>100</v>
      </c>
      <c r="R294" t="s">
        <v>36</v>
      </c>
      <c r="S294">
        <v>12</v>
      </c>
      <c r="T294">
        <v>12</v>
      </c>
      <c r="U294" t="s">
        <v>112</v>
      </c>
      <c r="V294" t="s">
        <v>37</v>
      </c>
      <c r="W294">
        <v>450</v>
      </c>
      <c r="X294">
        <v>532</v>
      </c>
      <c r="Y294">
        <v>8.3000000000000007</v>
      </c>
      <c r="Z294">
        <v>500</v>
      </c>
      <c r="AA294">
        <v>2000</v>
      </c>
      <c r="AB294">
        <v>50</v>
      </c>
      <c r="AC294" t="s">
        <v>40</v>
      </c>
    </row>
    <row r="295" spans="1:29" x14ac:dyDescent="0.25">
      <c r="A295" t="str">
        <f>"Raman_"&amp;E295&amp;"_"&amp;B295&amp;"_"&amp;AC295&amp;"_"&amp;TEXT(F295, "000")&amp;"_"&amp;TEXT(G295, "000")&amp;"_"&amp;H295&amp;".csv"</f>
        <v>Raman_EG_Pavlovagyrans_raw_002_006_B7.csv</v>
      </c>
      <c r="B295" t="s">
        <v>255</v>
      </c>
      <c r="C295" t="s">
        <v>30</v>
      </c>
      <c r="D295" t="s">
        <v>30</v>
      </c>
      <c r="E295" t="s">
        <v>31</v>
      </c>
      <c r="F295">
        <v>2</v>
      </c>
      <c r="G295">
        <v>6</v>
      </c>
      <c r="H295" t="s">
        <v>49</v>
      </c>
      <c r="I295" t="s">
        <v>256</v>
      </c>
      <c r="J295" t="s">
        <v>34</v>
      </c>
      <c r="L295" t="s">
        <v>30</v>
      </c>
      <c r="M295">
        <v>22</v>
      </c>
      <c r="N295" t="s">
        <v>54</v>
      </c>
      <c r="O295" t="s">
        <v>243</v>
      </c>
      <c r="P295">
        <v>336</v>
      </c>
      <c r="Q295">
        <v>100</v>
      </c>
      <c r="R295" t="s">
        <v>36</v>
      </c>
      <c r="S295">
        <v>12</v>
      </c>
      <c r="T295">
        <v>12</v>
      </c>
      <c r="U295" t="s">
        <v>112</v>
      </c>
      <c r="V295" t="s">
        <v>37</v>
      </c>
      <c r="W295">
        <v>450</v>
      </c>
      <c r="X295">
        <v>532</v>
      </c>
      <c r="Y295">
        <v>8.3000000000000007</v>
      </c>
      <c r="Z295">
        <v>500</v>
      </c>
      <c r="AA295">
        <v>2000</v>
      </c>
      <c r="AB295">
        <v>50</v>
      </c>
      <c r="AC295" t="s">
        <v>40</v>
      </c>
    </row>
    <row r="296" spans="1:29" x14ac:dyDescent="0.25">
      <c r="A296" t="str">
        <f>"Raman_"&amp;E296&amp;"_"&amp;B296&amp;"_"&amp;AC296&amp;"_"&amp;TEXT(F296, "000")&amp;"_"&amp;TEXT(G296, "000")&amp;"_"&amp;H296&amp;".csv"</f>
        <v>Raman_EG_Pavlovagyrans_raw_002_006_B8.csv</v>
      </c>
      <c r="B296" t="s">
        <v>255</v>
      </c>
      <c r="C296" t="s">
        <v>30</v>
      </c>
      <c r="D296" t="s">
        <v>30</v>
      </c>
      <c r="E296" t="s">
        <v>31</v>
      </c>
      <c r="F296">
        <v>2</v>
      </c>
      <c r="G296">
        <v>6</v>
      </c>
      <c r="H296" t="s">
        <v>51</v>
      </c>
      <c r="I296" t="s">
        <v>256</v>
      </c>
      <c r="J296" t="s">
        <v>34</v>
      </c>
      <c r="L296" t="s">
        <v>30</v>
      </c>
      <c r="M296">
        <v>22</v>
      </c>
      <c r="N296" t="s">
        <v>94</v>
      </c>
      <c r="O296" t="s">
        <v>243</v>
      </c>
      <c r="P296">
        <v>336</v>
      </c>
      <c r="Q296">
        <v>100</v>
      </c>
      <c r="R296" t="s">
        <v>36</v>
      </c>
      <c r="S296">
        <v>12</v>
      </c>
      <c r="T296">
        <v>12</v>
      </c>
      <c r="U296" t="s">
        <v>112</v>
      </c>
      <c r="V296" t="s">
        <v>37</v>
      </c>
      <c r="W296">
        <v>450</v>
      </c>
      <c r="X296">
        <v>532</v>
      </c>
      <c r="Y296">
        <v>8.3000000000000007</v>
      </c>
      <c r="Z296">
        <v>500</v>
      </c>
      <c r="AA296">
        <v>2000</v>
      </c>
      <c r="AB296">
        <v>50</v>
      </c>
      <c r="AC296" t="s">
        <v>40</v>
      </c>
    </row>
    <row r="297" spans="1:29" x14ac:dyDescent="0.25">
      <c r="A297" t="str">
        <f>"Raman_"&amp;E297&amp;"_"&amp;B297&amp;"_"&amp;AC297&amp;"_"&amp;TEXT(F297, "000")&amp;"_"&amp;TEXT(G297, "000")&amp;"_"&amp;H297&amp;".csv"</f>
        <v>Raman_EG_Pavlovagyrans_raw_002_006_B9.csv</v>
      </c>
      <c r="B297" t="s">
        <v>255</v>
      </c>
      <c r="C297" t="s">
        <v>30</v>
      </c>
      <c r="D297" t="s">
        <v>30</v>
      </c>
      <c r="E297" t="s">
        <v>31</v>
      </c>
      <c r="F297">
        <v>2</v>
      </c>
      <c r="G297">
        <v>6</v>
      </c>
      <c r="H297" t="s">
        <v>53</v>
      </c>
      <c r="I297" t="s">
        <v>256</v>
      </c>
      <c r="J297" t="s">
        <v>34</v>
      </c>
      <c r="L297" t="s">
        <v>30</v>
      </c>
      <c r="M297">
        <v>22</v>
      </c>
      <c r="N297" t="s">
        <v>56</v>
      </c>
      <c r="O297" t="s">
        <v>243</v>
      </c>
      <c r="P297">
        <v>336</v>
      </c>
      <c r="Q297">
        <v>100</v>
      </c>
      <c r="R297" t="s">
        <v>36</v>
      </c>
      <c r="S297">
        <v>12</v>
      </c>
      <c r="T297">
        <v>12</v>
      </c>
      <c r="U297" t="s">
        <v>112</v>
      </c>
      <c r="V297" t="s">
        <v>37</v>
      </c>
      <c r="W297">
        <v>450</v>
      </c>
      <c r="X297">
        <v>532</v>
      </c>
      <c r="Y297">
        <v>8.3000000000000007</v>
      </c>
      <c r="Z297">
        <v>500</v>
      </c>
      <c r="AA297">
        <v>2000</v>
      </c>
      <c r="AB297">
        <v>50</v>
      </c>
      <c r="AC297" t="s">
        <v>40</v>
      </c>
    </row>
    <row r="298" spans="1:29" x14ac:dyDescent="0.25">
      <c r="A298" t="str">
        <f>"Raman_"&amp;E298&amp;"_"&amp;B298&amp;"_"&amp;AC298&amp;"_"&amp;TEXT(F298, "000")&amp;"_"&amp;TEXT(G298, "000")&amp;"_"&amp;H298&amp;".csv"</f>
        <v>Raman_EG_Pavlovagyrans_raw_002_006_B10.csv</v>
      </c>
      <c r="B298" t="s">
        <v>255</v>
      </c>
      <c r="C298" t="s">
        <v>30</v>
      </c>
      <c r="D298" t="s">
        <v>30</v>
      </c>
      <c r="E298" t="s">
        <v>31</v>
      </c>
      <c r="F298">
        <v>2</v>
      </c>
      <c r="G298">
        <v>6</v>
      </c>
      <c r="H298" t="s">
        <v>55</v>
      </c>
      <c r="I298" t="s">
        <v>256</v>
      </c>
      <c r="J298" t="s">
        <v>34</v>
      </c>
      <c r="L298" t="s">
        <v>30</v>
      </c>
      <c r="M298">
        <v>22</v>
      </c>
      <c r="N298" t="s">
        <v>96</v>
      </c>
      <c r="O298" t="s">
        <v>243</v>
      </c>
      <c r="P298">
        <v>336</v>
      </c>
      <c r="Q298">
        <v>100</v>
      </c>
      <c r="R298" t="s">
        <v>36</v>
      </c>
      <c r="S298">
        <v>12</v>
      </c>
      <c r="T298">
        <v>12</v>
      </c>
      <c r="U298" t="s">
        <v>112</v>
      </c>
      <c r="V298" t="s">
        <v>37</v>
      </c>
      <c r="W298">
        <v>450</v>
      </c>
      <c r="X298">
        <v>532</v>
      </c>
      <c r="Y298">
        <v>8.3000000000000007</v>
      </c>
      <c r="Z298">
        <v>500</v>
      </c>
      <c r="AA298">
        <v>2000</v>
      </c>
      <c r="AB298">
        <v>50</v>
      </c>
      <c r="AC298" t="s">
        <v>40</v>
      </c>
    </row>
    <row r="299" spans="1:29" x14ac:dyDescent="0.25">
      <c r="A299" t="str">
        <f>"Raman_"&amp;E299&amp;"_"&amp;B299&amp;"_"&amp;AC299&amp;"_"&amp;TEXT(F299, "000")&amp;"_"&amp;TEXT(G299, "000")&amp;"_"&amp;H299&amp;".csv"</f>
        <v>Raman_EG_Pavlovagyrans_raw_002_006_B11.csv</v>
      </c>
      <c r="B299" t="s">
        <v>255</v>
      </c>
      <c r="C299" t="s">
        <v>30</v>
      </c>
      <c r="D299" t="s">
        <v>30</v>
      </c>
      <c r="E299" t="s">
        <v>31</v>
      </c>
      <c r="F299">
        <v>2</v>
      </c>
      <c r="G299">
        <v>6</v>
      </c>
      <c r="H299" t="s">
        <v>57</v>
      </c>
      <c r="I299" t="s">
        <v>256</v>
      </c>
      <c r="J299" t="s">
        <v>34</v>
      </c>
      <c r="L299" t="s">
        <v>30</v>
      </c>
      <c r="M299">
        <v>22</v>
      </c>
      <c r="N299" t="s">
        <v>58</v>
      </c>
      <c r="O299" t="s">
        <v>243</v>
      </c>
      <c r="P299">
        <v>336</v>
      </c>
      <c r="Q299">
        <v>100</v>
      </c>
      <c r="R299" t="s">
        <v>36</v>
      </c>
      <c r="S299">
        <v>12</v>
      </c>
      <c r="T299">
        <v>12</v>
      </c>
      <c r="U299" t="s">
        <v>112</v>
      </c>
      <c r="V299" t="s">
        <v>37</v>
      </c>
      <c r="W299">
        <v>450</v>
      </c>
      <c r="X299">
        <v>532</v>
      </c>
      <c r="Y299">
        <v>8.3000000000000007</v>
      </c>
      <c r="Z299">
        <v>500</v>
      </c>
      <c r="AA299">
        <v>2000</v>
      </c>
      <c r="AB299">
        <v>50</v>
      </c>
      <c r="AC299" t="s">
        <v>40</v>
      </c>
    </row>
    <row r="300" spans="1:29" x14ac:dyDescent="0.25">
      <c r="A300" t="str">
        <f>"Raman_"&amp;E300&amp;"_"&amp;B300&amp;"_"&amp;AC300&amp;"_"&amp;TEXT(F300, "000")&amp;"_"&amp;TEXT(G300, "000")&amp;"_"&amp;H300&amp;".csv"</f>
        <v>Raman_EG_Pavlovagyrans_raw_002_006_C1.csv</v>
      </c>
      <c r="B300" t="s">
        <v>255</v>
      </c>
      <c r="C300" t="s">
        <v>30</v>
      </c>
      <c r="D300" t="s">
        <v>30</v>
      </c>
      <c r="E300" t="s">
        <v>31</v>
      </c>
      <c r="F300">
        <v>2</v>
      </c>
      <c r="G300">
        <v>6</v>
      </c>
      <c r="H300" t="s">
        <v>137</v>
      </c>
      <c r="I300" t="s">
        <v>256</v>
      </c>
      <c r="J300" t="s">
        <v>34</v>
      </c>
      <c r="L300" t="s">
        <v>30</v>
      </c>
      <c r="M300">
        <v>22</v>
      </c>
      <c r="N300" t="s">
        <v>48</v>
      </c>
      <c r="O300" t="s">
        <v>243</v>
      </c>
      <c r="P300">
        <v>336</v>
      </c>
      <c r="Q300">
        <v>100</v>
      </c>
      <c r="R300" t="s">
        <v>36</v>
      </c>
      <c r="S300">
        <v>12</v>
      </c>
      <c r="T300">
        <v>12</v>
      </c>
      <c r="U300" t="s">
        <v>112</v>
      </c>
      <c r="V300" t="s">
        <v>37</v>
      </c>
      <c r="W300">
        <v>450</v>
      </c>
      <c r="X300">
        <v>532</v>
      </c>
      <c r="Y300">
        <v>8.3000000000000007</v>
      </c>
      <c r="Z300">
        <v>500</v>
      </c>
      <c r="AA300">
        <v>2000</v>
      </c>
      <c r="AB300">
        <v>50</v>
      </c>
      <c r="AC300" t="s">
        <v>40</v>
      </c>
    </row>
    <row r="301" spans="1:29" x14ac:dyDescent="0.25">
      <c r="A301" t="str">
        <f>"Raman_"&amp;E301&amp;"_"&amp;B301&amp;"_"&amp;AC301&amp;"_"&amp;TEXT(F301, "000")&amp;"_"&amp;TEXT(G301, "000")&amp;"_"&amp;H301&amp;".csv"</f>
        <v>Raman_EG_Pavlovagyrans_raw_002_006_C2.csv</v>
      </c>
      <c r="B301" t="s">
        <v>255</v>
      </c>
      <c r="C301" t="s">
        <v>30</v>
      </c>
      <c r="D301" t="s">
        <v>30</v>
      </c>
      <c r="E301" t="s">
        <v>31</v>
      </c>
      <c r="F301">
        <v>2</v>
      </c>
      <c r="G301">
        <v>6</v>
      </c>
      <c r="H301" t="s">
        <v>59</v>
      </c>
      <c r="I301" t="s">
        <v>256</v>
      </c>
      <c r="J301" t="s">
        <v>34</v>
      </c>
      <c r="L301" t="s">
        <v>30</v>
      </c>
      <c r="M301">
        <v>22</v>
      </c>
      <c r="N301" t="s">
        <v>88</v>
      </c>
      <c r="O301" t="s">
        <v>243</v>
      </c>
      <c r="P301">
        <v>336</v>
      </c>
      <c r="Q301">
        <v>100</v>
      </c>
      <c r="R301" t="s">
        <v>36</v>
      </c>
      <c r="S301">
        <v>12</v>
      </c>
      <c r="T301">
        <v>12</v>
      </c>
      <c r="U301" t="s">
        <v>112</v>
      </c>
      <c r="V301" t="s">
        <v>37</v>
      </c>
      <c r="W301">
        <v>450</v>
      </c>
      <c r="X301">
        <v>532</v>
      </c>
      <c r="Y301">
        <v>8.3000000000000007</v>
      </c>
      <c r="Z301">
        <v>500</v>
      </c>
      <c r="AA301">
        <v>2000</v>
      </c>
      <c r="AB301">
        <v>50</v>
      </c>
      <c r="AC301" t="s">
        <v>40</v>
      </c>
    </row>
    <row r="302" spans="1:29" x14ac:dyDescent="0.25">
      <c r="A302" t="str">
        <f>"Raman_"&amp;E302&amp;"_"&amp;B302&amp;"_"&amp;AC302&amp;"_"&amp;TEXT(F302, "000")&amp;"_"&amp;TEXT(G302, "000")&amp;"_"&amp;H302&amp;".csv"</f>
        <v>Raman_EG_Pavlovagyrans_raw_002_006_C3.csv</v>
      </c>
      <c r="B302" t="s">
        <v>255</v>
      </c>
      <c r="C302" t="s">
        <v>30</v>
      </c>
      <c r="D302" t="s">
        <v>30</v>
      </c>
      <c r="E302" t="s">
        <v>31</v>
      </c>
      <c r="F302">
        <v>2</v>
      </c>
      <c r="G302">
        <v>6</v>
      </c>
      <c r="H302" t="s">
        <v>60</v>
      </c>
      <c r="I302" t="s">
        <v>256</v>
      </c>
      <c r="J302" t="s">
        <v>34</v>
      </c>
      <c r="L302" t="s">
        <v>30</v>
      </c>
      <c r="M302">
        <v>22</v>
      </c>
      <c r="N302" t="s">
        <v>50</v>
      </c>
      <c r="O302" t="s">
        <v>243</v>
      </c>
      <c r="P302">
        <v>336</v>
      </c>
      <c r="Q302">
        <v>100</v>
      </c>
      <c r="R302" t="s">
        <v>36</v>
      </c>
      <c r="S302">
        <v>12</v>
      </c>
      <c r="T302">
        <v>12</v>
      </c>
      <c r="U302" t="s">
        <v>112</v>
      </c>
      <c r="V302" t="s">
        <v>37</v>
      </c>
      <c r="W302">
        <v>450</v>
      </c>
      <c r="X302">
        <v>532</v>
      </c>
      <c r="Y302">
        <v>8.3000000000000007</v>
      </c>
      <c r="Z302">
        <v>500</v>
      </c>
      <c r="AA302">
        <v>2000</v>
      </c>
      <c r="AB302">
        <v>50</v>
      </c>
      <c r="AC302" t="s">
        <v>40</v>
      </c>
    </row>
    <row r="303" spans="1:29" x14ac:dyDescent="0.25">
      <c r="A303" t="str">
        <f>"Raman_"&amp;E303&amp;"_"&amp;B303&amp;"_"&amp;AC303&amp;"_"&amp;TEXT(F303, "000")&amp;"_"&amp;TEXT(G303, "000")&amp;"_"&amp;H303&amp;".csv"</f>
        <v>Raman_EG_Pavlovagyrans_raw_002_006_C4.csv</v>
      </c>
      <c r="B303" t="s">
        <v>255</v>
      </c>
      <c r="C303" t="s">
        <v>30</v>
      </c>
      <c r="D303" t="s">
        <v>30</v>
      </c>
      <c r="E303" t="s">
        <v>31</v>
      </c>
      <c r="F303">
        <v>2</v>
      </c>
      <c r="G303">
        <v>6</v>
      </c>
      <c r="H303" t="s">
        <v>61</v>
      </c>
      <c r="I303" t="s">
        <v>256</v>
      </c>
      <c r="J303" t="s">
        <v>34</v>
      </c>
      <c r="L303" t="s">
        <v>30</v>
      </c>
      <c r="M303">
        <v>22</v>
      </c>
      <c r="N303" t="s">
        <v>90</v>
      </c>
      <c r="O303" t="s">
        <v>243</v>
      </c>
      <c r="P303">
        <v>336</v>
      </c>
      <c r="Q303">
        <v>100</v>
      </c>
      <c r="R303" t="s">
        <v>36</v>
      </c>
      <c r="S303">
        <v>12</v>
      </c>
      <c r="T303">
        <v>12</v>
      </c>
      <c r="U303" t="s">
        <v>112</v>
      </c>
      <c r="V303" t="s">
        <v>37</v>
      </c>
      <c r="W303">
        <v>450</v>
      </c>
      <c r="X303">
        <v>532</v>
      </c>
      <c r="Y303">
        <v>8.3000000000000007</v>
      </c>
      <c r="Z303">
        <v>500</v>
      </c>
      <c r="AA303">
        <v>2000</v>
      </c>
      <c r="AB303">
        <v>50</v>
      </c>
      <c r="AC303" t="s">
        <v>40</v>
      </c>
    </row>
    <row r="304" spans="1:29" x14ac:dyDescent="0.25">
      <c r="A304" t="str">
        <f>"Raman_"&amp;E304&amp;"_"&amp;B304&amp;"_"&amp;AC304&amp;"_"&amp;TEXT(F304, "000")&amp;"_"&amp;TEXT(G304, "000")&amp;"_"&amp;H304&amp;".csv"</f>
        <v>Raman_EG_Pavlovagyrans_raw_002_006_C5.csv</v>
      </c>
      <c r="B304" t="s">
        <v>255</v>
      </c>
      <c r="C304" t="s">
        <v>30</v>
      </c>
      <c r="D304" t="s">
        <v>30</v>
      </c>
      <c r="E304" t="s">
        <v>31</v>
      </c>
      <c r="F304">
        <v>2</v>
      </c>
      <c r="G304">
        <v>6</v>
      </c>
      <c r="H304" t="s">
        <v>62</v>
      </c>
      <c r="I304" t="s">
        <v>256</v>
      </c>
      <c r="J304" t="s">
        <v>34</v>
      </c>
      <c r="L304" t="s">
        <v>30</v>
      </c>
      <c r="M304">
        <v>22</v>
      </c>
      <c r="N304" t="s">
        <v>52</v>
      </c>
      <c r="O304" t="s">
        <v>243</v>
      </c>
      <c r="P304">
        <v>336</v>
      </c>
      <c r="Q304">
        <v>100</v>
      </c>
      <c r="R304" t="s">
        <v>36</v>
      </c>
      <c r="S304">
        <v>12</v>
      </c>
      <c r="T304">
        <v>12</v>
      </c>
      <c r="U304" t="s">
        <v>112</v>
      </c>
      <c r="V304" t="s">
        <v>37</v>
      </c>
      <c r="W304">
        <v>450</v>
      </c>
      <c r="X304">
        <v>532</v>
      </c>
      <c r="Y304">
        <v>8.3000000000000007</v>
      </c>
      <c r="Z304">
        <v>500</v>
      </c>
      <c r="AA304">
        <v>2000</v>
      </c>
      <c r="AB304">
        <v>50</v>
      </c>
      <c r="AC304" t="s">
        <v>40</v>
      </c>
    </row>
    <row r="305" spans="1:29" x14ac:dyDescent="0.25">
      <c r="A305" t="str">
        <f>"Raman_"&amp;E305&amp;"_"&amp;B305&amp;"_"&amp;AC305&amp;"_"&amp;TEXT(F305, "000")&amp;"_"&amp;TEXT(G305, "000")&amp;"_"&amp;H305&amp;".csv"</f>
        <v>Raman_EG_Pavlovagyrans_raw_002_006_C6.csv</v>
      </c>
      <c r="B305" t="s">
        <v>255</v>
      </c>
      <c r="C305" t="s">
        <v>30</v>
      </c>
      <c r="D305" t="s">
        <v>30</v>
      </c>
      <c r="E305" t="s">
        <v>31</v>
      </c>
      <c r="F305">
        <v>2</v>
      </c>
      <c r="G305">
        <v>6</v>
      </c>
      <c r="H305" t="s">
        <v>63</v>
      </c>
      <c r="I305" t="s">
        <v>256</v>
      </c>
      <c r="J305" t="s">
        <v>34</v>
      </c>
      <c r="L305" t="s">
        <v>30</v>
      </c>
      <c r="M305">
        <v>22</v>
      </c>
      <c r="N305" t="s">
        <v>92</v>
      </c>
      <c r="O305" t="s">
        <v>243</v>
      </c>
      <c r="P305">
        <v>336</v>
      </c>
      <c r="Q305">
        <v>100</v>
      </c>
      <c r="R305" t="s">
        <v>36</v>
      </c>
      <c r="S305">
        <v>12</v>
      </c>
      <c r="T305">
        <v>12</v>
      </c>
      <c r="U305" t="s">
        <v>112</v>
      </c>
      <c r="V305" t="s">
        <v>37</v>
      </c>
      <c r="W305">
        <v>450</v>
      </c>
      <c r="X305">
        <v>532</v>
      </c>
      <c r="Y305">
        <v>8.3000000000000007</v>
      </c>
      <c r="Z305">
        <v>500</v>
      </c>
      <c r="AA305">
        <v>2000</v>
      </c>
      <c r="AB305">
        <v>50</v>
      </c>
      <c r="AC305" t="s">
        <v>40</v>
      </c>
    </row>
    <row r="306" spans="1:29" x14ac:dyDescent="0.25">
      <c r="A306" t="str">
        <f>"Raman_"&amp;E306&amp;"_"&amp;B306&amp;"_"&amp;AC306&amp;"_"&amp;TEXT(F306, "000")&amp;"_"&amp;TEXT(G306, "000")&amp;"_"&amp;H306&amp;".csv"</f>
        <v>Raman_EG_Pavlovagyrans_raw_002_006_C7.csv</v>
      </c>
      <c r="B306" t="s">
        <v>255</v>
      </c>
      <c r="C306" t="s">
        <v>30</v>
      </c>
      <c r="D306" t="s">
        <v>30</v>
      </c>
      <c r="E306" t="s">
        <v>31</v>
      </c>
      <c r="F306">
        <v>2</v>
      </c>
      <c r="G306">
        <v>6</v>
      </c>
      <c r="H306" t="s">
        <v>64</v>
      </c>
      <c r="I306" t="s">
        <v>256</v>
      </c>
      <c r="J306" t="s">
        <v>34</v>
      </c>
      <c r="L306" t="s">
        <v>30</v>
      </c>
      <c r="M306">
        <v>22</v>
      </c>
      <c r="N306" t="s">
        <v>54</v>
      </c>
      <c r="O306" t="s">
        <v>243</v>
      </c>
      <c r="P306">
        <v>336</v>
      </c>
      <c r="Q306">
        <v>100</v>
      </c>
      <c r="R306" t="s">
        <v>36</v>
      </c>
      <c r="S306">
        <v>12</v>
      </c>
      <c r="T306">
        <v>12</v>
      </c>
      <c r="U306" t="s">
        <v>112</v>
      </c>
      <c r="V306" t="s">
        <v>37</v>
      </c>
      <c r="W306">
        <v>450</v>
      </c>
      <c r="X306">
        <v>532</v>
      </c>
      <c r="Y306">
        <v>8.3000000000000007</v>
      </c>
      <c r="Z306">
        <v>500</v>
      </c>
      <c r="AA306">
        <v>2000</v>
      </c>
      <c r="AB306">
        <v>50</v>
      </c>
      <c r="AC306" t="s">
        <v>40</v>
      </c>
    </row>
    <row r="307" spans="1:29" x14ac:dyDescent="0.25">
      <c r="A307" t="str">
        <f>"Raman_"&amp;E307&amp;"_"&amp;B307&amp;"_"&amp;AC307&amp;"_"&amp;TEXT(F307, "000")&amp;"_"&amp;TEXT(G307, "000")&amp;"_"&amp;H307&amp;".csv"</f>
        <v>Raman_EG_Pavlovagyrans_raw_002_006_C8.csv</v>
      </c>
      <c r="B307" t="s">
        <v>255</v>
      </c>
      <c r="C307" t="s">
        <v>30</v>
      </c>
      <c r="D307" t="s">
        <v>30</v>
      </c>
      <c r="E307" t="s">
        <v>31</v>
      </c>
      <c r="F307">
        <v>2</v>
      </c>
      <c r="G307">
        <v>6</v>
      </c>
      <c r="H307" t="s">
        <v>65</v>
      </c>
      <c r="I307" t="s">
        <v>256</v>
      </c>
      <c r="J307" t="s">
        <v>34</v>
      </c>
      <c r="L307" t="s">
        <v>30</v>
      </c>
      <c r="M307">
        <v>22</v>
      </c>
      <c r="N307" t="s">
        <v>94</v>
      </c>
      <c r="O307" t="s">
        <v>243</v>
      </c>
      <c r="P307">
        <v>336</v>
      </c>
      <c r="Q307">
        <v>100</v>
      </c>
      <c r="R307" t="s">
        <v>36</v>
      </c>
      <c r="S307">
        <v>12</v>
      </c>
      <c r="T307">
        <v>12</v>
      </c>
      <c r="U307" t="s">
        <v>112</v>
      </c>
      <c r="V307" t="s">
        <v>37</v>
      </c>
      <c r="W307">
        <v>450</v>
      </c>
      <c r="X307">
        <v>532</v>
      </c>
      <c r="Y307">
        <v>8.3000000000000007</v>
      </c>
      <c r="Z307">
        <v>500</v>
      </c>
      <c r="AA307">
        <v>2000</v>
      </c>
      <c r="AB307">
        <v>50</v>
      </c>
      <c r="AC307" t="s">
        <v>40</v>
      </c>
    </row>
    <row r="308" spans="1:29" x14ac:dyDescent="0.25">
      <c r="A308" t="str">
        <f>"Raman_"&amp;E308&amp;"_"&amp;B308&amp;"_"&amp;AC308&amp;"_"&amp;TEXT(F308, "000")&amp;"_"&amp;TEXT(G308, "000")&amp;"_"&amp;H308&amp;".csv"</f>
        <v>Raman_EG_Pavlovagyrans_raw_002_006_C9.csv</v>
      </c>
      <c r="B308" t="s">
        <v>255</v>
      </c>
      <c r="C308" t="s">
        <v>30</v>
      </c>
      <c r="D308" t="s">
        <v>30</v>
      </c>
      <c r="E308" t="s">
        <v>31</v>
      </c>
      <c r="F308">
        <v>2</v>
      </c>
      <c r="G308">
        <v>6</v>
      </c>
      <c r="H308" t="s">
        <v>66</v>
      </c>
      <c r="I308" t="s">
        <v>256</v>
      </c>
      <c r="J308" t="s">
        <v>34</v>
      </c>
      <c r="L308" t="s">
        <v>30</v>
      </c>
      <c r="M308">
        <v>22</v>
      </c>
      <c r="N308" t="s">
        <v>56</v>
      </c>
      <c r="O308" t="s">
        <v>243</v>
      </c>
      <c r="P308">
        <v>336</v>
      </c>
      <c r="Q308">
        <v>100</v>
      </c>
      <c r="R308" t="s">
        <v>36</v>
      </c>
      <c r="S308">
        <v>12</v>
      </c>
      <c r="T308">
        <v>12</v>
      </c>
      <c r="U308" t="s">
        <v>112</v>
      </c>
      <c r="V308" t="s">
        <v>37</v>
      </c>
      <c r="W308">
        <v>450</v>
      </c>
      <c r="X308">
        <v>532</v>
      </c>
      <c r="Y308">
        <v>8.3000000000000007</v>
      </c>
      <c r="Z308">
        <v>500</v>
      </c>
      <c r="AA308">
        <v>2000</v>
      </c>
      <c r="AB308">
        <v>50</v>
      </c>
      <c r="AC308" t="s">
        <v>40</v>
      </c>
    </row>
    <row r="309" spans="1:29" x14ac:dyDescent="0.25">
      <c r="A309" t="str">
        <f>"Raman_"&amp;E309&amp;"_"&amp;B309&amp;"_"&amp;AC309&amp;"_"&amp;TEXT(F309, "000")&amp;"_"&amp;TEXT(G309, "000")&amp;"_"&amp;H309&amp;".csv"</f>
        <v>Raman_EG_Pavlovagyrans_raw_002_006_C10.csv</v>
      </c>
      <c r="B309" t="s">
        <v>255</v>
      </c>
      <c r="C309" t="s">
        <v>30</v>
      </c>
      <c r="D309" t="s">
        <v>30</v>
      </c>
      <c r="E309" t="s">
        <v>31</v>
      </c>
      <c r="F309">
        <v>2</v>
      </c>
      <c r="G309">
        <v>6</v>
      </c>
      <c r="H309" t="s">
        <v>67</v>
      </c>
      <c r="I309" t="s">
        <v>256</v>
      </c>
      <c r="J309" t="s">
        <v>34</v>
      </c>
      <c r="L309" t="s">
        <v>30</v>
      </c>
      <c r="M309">
        <v>22</v>
      </c>
      <c r="N309" t="s">
        <v>96</v>
      </c>
      <c r="O309" t="s">
        <v>243</v>
      </c>
      <c r="P309">
        <v>336</v>
      </c>
      <c r="Q309">
        <v>100</v>
      </c>
      <c r="R309" t="s">
        <v>36</v>
      </c>
      <c r="S309">
        <v>12</v>
      </c>
      <c r="T309">
        <v>12</v>
      </c>
      <c r="U309" t="s">
        <v>112</v>
      </c>
      <c r="V309" t="s">
        <v>37</v>
      </c>
      <c r="W309">
        <v>450</v>
      </c>
      <c r="X309">
        <v>532</v>
      </c>
      <c r="Y309">
        <v>8.3000000000000007</v>
      </c>
      <c r="Z309">
        <v>500</v>
      </c>
      <c r="AA309">
        <v>2000</v>
      </c>
      <c r="AB309">
        <v>50</v>
      </c>
      <c r="AC309" t="s">
        <v>40</v>
      </c>
    </row>
    <row r="310" spans="1:29" x14ac:dyDescent="0.25">
      <c r="A310" t="str">
        <f>"Raman_"&amp;E310&amp;"_"&amp;B310&amp;"_"&amp;AC310&amp;"_"&amp;TEXT(F310, "000")&amp;"_"&amp;TEXT(G310, "000")&amp;"_"&amp;H310&amp;".csv"</f>
        <v>Raman_EG_Pavlovagyrans_raw_002_006_C11.csv</v>
      </c>
      <c r="B310" t="s">
        <v>255</v>
      </c>
      <c r="C310" t="s">
        <v>30</v>
      </c>
      <c r="D310" t="s">
        <v>30</v>
      </c>
      <c r="E310" t="s">
        <v>31</v>
      </c>
      <c r="F310">
        <v>2</v>
      </c>
      <c r="G310">
        <v>6</v>
      </c>
      <c r="H310" t="s">
        <v>68</v>
      </c>
      <c r="I310" t="s">
        <v>256</v>
      </c>
      <c r="J310" t="s">
        <v>34</v>
      </c>
      <c r="L310" t="s">
        <v>30</v>
      </c>
      <c r="M310">
        <v>22</v>
      </c>
      <c r="N310" t="s">
        <v>58</v>
      </c>
      <c r="O310" t="s">
        <v>243</v>
      </c>
      <c r="P310">
        <v>336</v>
      </c>
      <c r="Q310">
        <v>100</v>
      </c>
      <c r="R310" t="s">
        <v>36</v>
      </c>
      <c r="S310">
        <v>12</v>
      </c>
      <c r="T310">
        <v>12</v>
      </c>
      <c r="U310" t="s">
        <v>112</v>
      </c>
      <c r="V310" t="s">
        <v>37</v>
      </c>
      <c r="W310">
        <v>450</v>
      </c>
      <c r="X310">
        <v>532</v>
      </c>
      <c r="Y310">
        <v>8.3000000000000007</v>
      </c>
      <c r="Z310">
        <v>500</v>
      </c>
      <c r="AA310">
        <v>2000</v>
      </c>
      <c r="AB310">
        <v>50</v>
      </c>
      <c r="AC310" t="s">
        <v>40</v>
      </c>
    </row>
    <row r="311" spans="1:29" x14ac:dyDescent="0.25">
      <c r="A311" t="str">
        <f>"Raman_"&amp;E311&amp;"_"&amp;B311&amp;"_"&amp;AC311&amp;"_"&amp;TEXT(F311, "000")&amp;"_"&amp;TEXT(G311, "000")&amp;"_"&amp;H311&amp;".csv"</f>
        <v>Raman_EG_Pavlovagyrans_raw_002_006_D1.csv</v>
      </c>
      <c r="B311" t="s">
        <v>255</v>
      </c>
      <c r="C311" t="s">
        <v>30</v>
      </c>
      <c r="D311" t="s">
        <v>30</v>
      </c>
      <c r="E311" t="s">
        <v>31</v>
      </c>
      <c r="F311">
        <v>2</v>
      </c>
      <c r="G311">
        <v>6</v>
      </c>
      <c r="H311" t="s">
        <v>146</v>
      </c>
      <c r="I311" t="s">
        <v>256</v>
      </c>
      <c r="J311" t="s">
        <v>34</v>
      </c>
      <c r="L311" t="s">
        <v>30</v>
      </c>
      <c r="M311">
        <v>22</v>
      </c>
      <c r="N311" t="s">
        <v>48</v>
      </c>
      <c r="O311" t="s">
        <v>243</v>
      </c>
      <c r="P311">
        <v>336</v>
      </c>
      <c r="Q311">
        <v>100</v>
      </c>
      <c r="R311" t="s">
        <v>36</v>
      </c>
      <c r="S311">
        <v>12</v>
      </c>
      <c r="T311">
        <v>12</v>
      </c>
      <c r="U311" t="s">
        <v>112</v>
      </c>
      <c r="V311" t="s">
        <v>37</v>
      </c>
      <c r="W311">
        <v>450</v>
      </c>
      <c r="X311">
        <v>532</v>
      </c>
      <c r="Y311">
        <v>8.3000000000000007</v>
      </c>
      <c r="Z311">
        <v>500</v>
      </c>
      <c r="AA311">
        <v>2000</v>
      </c>
      <c r="AB311">
        <v>50</v>
      </c>
      <c r="AC311" t="s">
        <v>40</v>
      </c>
    </row>
    <row r="312" spans="1:29" x14ac:dyDescent="0.25">
      <c r="A312" t="str">
        <f>"Raman_"&amp;E312&amp;"_"&amp;B312&amp;"_"&amp;AC312&amp;"_"&amp;TEXT(F312, "000")&amp;"_"&amp;TEXT(G312, "000")&amp;"_"&amp;H312&amp;".csv"</f>
        <v>Raman_EG_Pavlovagyrans_raw_002_006_D2.csv</v>
      </c>
      <c r="B312" t="s">
        <v>255</v>
      </c>
      <c r="C312" t="s">
        <v>30</v>
      </c>
      <c r="D312" t="s">
        <v>30</v>
      </c>
      <c r="E312" t="s">
        <v>31</v>
      </c>
      <c r="F312">
        <v>2</v>
      </c>
      <c r="G312">
        <v>6</v>
      </c>
      <c r="H312" t="s">
        <v>69</v>
      </c>
      <c r="I312" t="s">
        <v>256</v>
      </c>
      <c r="J312" t="s">
        <v>34</v>
      </c>
      <c r="L312" t="s">
        <v>30</v>
      </c>
      <c r="M312">
        <v>22</v>
      </c>
      <c r="N312" t="s">
        <v>88</v>
      </c>
      <c r="O312" t="s">
        <v>243</v>
      </c>
      <c r="P312">
        <v>336</v>
      </c>
      <c r="Q312">
        <v>100</v>
      </c>
      <c r="R312" t="s">
        <v>36</v>
      </c>
      <c r="S312">
        <v>12</v>
      </c>
      <c r="T312">
        <v>12</v>
      </c>
      <c r="U312" t="s">
        <v>112</v>
      </c>
      <c r="V312" t="s">
        <v>37</v>
      </c>
      <c r="W312">
        <v>450</v>
      </c>
      <c r="X312">
        <v>532</v>
      </c>
      <c r="Y312">
        <v>8.3000000000000007</v>
      </c>
      <c r="Z312">
        <v>500</v>
      </c>
      <c r="AA312">
        <v>2000</v>
      </c>
      <c r="AB312">
        <v>50</v>
      </c>
      <c r="AC312" t="s">
        <v>40</v>
      </c>
    </row>
    <row r="313" spans="1:29" x14ac:dyDescent="0.25">
      <c r="A313" t="str">
        <f>"Raman_"&amp;E313&amp;"_"&amp;B313&amp;"_"&amp;AC313&amp;"_"&amp;TEXT(F313, "000")&amp;"_"&amp;TEXT(G313, "000")&amp;"_"&amp;H313&amp;".csv"</f>
        <v>Raman_EG_Pavlovagyrans_raw_002_006_D3.csv</v>
      </c>
      <c r="B313" t="s">
        <v>255</v>
      </c>
      <c r="C313" t="s">
        <v>30</v>
      </c>
      <c r="D313" t="s">
        <v>30</v>
      </c>
      <c r="E313" t="s">
        <v>31</v>
      </c>
      <c r="F313">
        <v>2</v>
      </c>
      <c r="G313">
        <v>6</v>
      </c>
      <c r="H313" t="s">
        <v>70</v>
      </c>
      <c r="I313" t="s">
        <v>256</v>
      </c>
      <c r="J313" t="s">
        <v>34</v>
      </c>
      <c r="L313" t="s">
        <v>30</v>
      </c>
      <c r="M313">
        <v>22</v>
      </c>
      <c r="N313" t="s">
        <v>50</v>
      </c>
      <c r="O313" t="s">
        <v>243</v>
      </c>
      <c r="P313">
        <v>336</v>
      </c>
      <c r="Q313">
        <v>100</v>
      </c>
      <c r="R313" t="s">
        <v>36</v>
      </c>
      <c r="S313">
        <v>12</v>
      </c>
      <c r="T313">
        <v>12</v>
      </c>
      <c r="U313" t="s">
        <v>112</v>
      </c>
      <c r="V313" t="s">
        <v>37</v>
      </c>
      <c r="W313">
        <v>450</v>
      </c>
      <c r="X313">
        <v>532</v>
      </c>
      <c r="Y313">
        <v>8.3000000000000007</v>
      </c>
      <c r="Z313">
        <v>500</v>
      </c>
      <c r="AA313">
        <v>2000</v>
      </c>
      <c r="AB313">
        <v>50</v>
      </c>
      <c r="AC313" t="s">
        <v>40</v>
      </c>
    </row>
    <row r="314" spans="1:29" x14ac:dyDescent="0.25">
      <c r="A314" t="str">
        <f>"Raman_"&amp;E314&amp;"_"&amp;B314&amp;"_"&amp;AC314&amp;"_"&amp;TEXT(F314, "000")&amp;"_"&amp;TEXT(G314, "000")&amp;"_"&amp;H314&amp;".csv"</f>
        <v>Raman_EG_Pavlovagyrans_raw_002_006_D4.csv</v>
      </c>
      <c r="B314" t="s">
        <v>255</v>
      </c>
      <c r="C314" t="s">
        <v>30</v>
      </c>
      <c r="D314" t="s">
        <v>30</v>
      </c>
      <c r="E314" t="s">
        <v>31</v>
      </c>
      <c r="F314">
        <v>2</v>
      </c>
      <c r="G314">
        <v>6</v>
      </c>
      <c r="H314" t="s">
        <v>71</v>
      </c>
      <c r="I314" t="s">
        <v>256</v>
      </c>
      <c r="J314" t="s">
        <v>34</v>
      </c>
      <c r="L314" t="s">
        <v>30</v>
      </c>
      <c r="M314">
        <v>22</v>
      </c>
      <c r="N314" t="s">
        <v>90</v>
      </c>
      <c r="O314" t="s">
        <v>243</v>
      </c>
      <c r="P314">
        <v>336</v>
      </c>
      <c r="Q314">
        <v>100</v>
      </c>
      <c r="R314" t="s">
        <v>36</v>
      </c>
      <c r="S314">
        <v>12</v>
      </c>
      <c r="T314">
        <v>12</v>
      </c>
      <c r="U314" t="s">
        <v>112</v>
      </c>
      <c r="V314" t="s">
        <v>37</v>
      </c>
      <c r="W314">
        <v>450</v>
      </c>
      <c r="X314">
        <v>532</v>
      </c>
      <c r="Y314">
        <v>8.3000000000000007</v>
      </c>
      <c r="Z314">
        <v>500</v>
      </c>
      <c r="AA314">
        <v>2000</v>
      </c>
      <c r="AB314">
        <v>50</v>
      </c>
      <c r="AC314" t="s">
        <v>40</v>
      </c>
    </row>
    <row r="315" spans="1:29" x14ac:dyDescent="0.25">
      <c r="A315" t="str">
        <f>"Raman_"&amp;E315&amp;"_"&amp;B315&amp;"_"&amp;AC315&amp;"_"&amp;TEXT(F315, "000")&amp;"_"&amp;TEXT(G315, "000")&amp;"_"&amp;H315&amp;".csv"</f>
        <v>Raman_EG_Pavlovagyrans_raw_002_006_D5.csv</v>
      </c>
      <c r="B315" t="s">
        <v>255</v>
      </c>
      <c r="C315" t="s">
        <v>30</v>
      </c>
      <c r="D315" t="s">
        <v>30</v>
      </c>
      <c r="E315" t="s">
        <v>31</v>
      </c>
      <c r="F315">
        <v>2</v>
      </c>
      <c r="G315">
        <v>6</v>
      </c>
      <c r="H315" t="s">
        <v>72</v>
      </c>
      <c r="I315" t="s">
        <v>256</v>
      </c>
      <c r="J315" t="s">
        <v>34</v>
      </c>
      <c r="L315" t="s">
        <v>30</v>
      </c>
      <c r="M315">
        <v>22</v>
      </c>
      <c r="N315" t="s">
        <v>52</v>
      </c>
      <c r="O315" t="s">
        <v>243</v>
      </c>
      <c r="P315">
        <v>336</v>
      </c>
      <c r="Q315">
        <v>100</v>
      </c>
      <c r="R315" t="s">
        <v>36</v>
      </c>
      <c r="S315">
        <v>12</v>
      </c>
      <c r="T315">
        <v>12</v>
      </c>
      <c r="U315" t="s">
        <v>112</v>
      </c>
      <c r="V315" t="s">
        <v>37</v>
      </c>
      <c r="W315">
        <v>450</v>
      </c>
      <c r="X315">
        <v>532</v>
      </c>
      <c r="Y315">
        <v>8.3000000000000007</v>
      </c>
      <c r="Z315">
        <v>500</v>
      </c>
      <c r="AA315">
        <v>2000</v>
      </c>
      <c r="AB315">
        <v>50</v>
      </c>
      <c r="AC315" t="s">
        <v>40</v>
      </c>
    </row>
    <row r="316" spans="1:29" x14ac:dyDescent="0.25">
      <c r="A316" t="str">
        <f>"Raman_"&amp;E316&amp;"_"&amp;B316&amp;"_"&amp;AC316&amp;"_"&amp;TEXT(F316, "000")&amp;"_"&amp;TEXT(G316, "000")&amp;"_"&amp;H316&amp;".csv"</f>
        <v>Raman_EG_Pavlovagyrans_raw_002_006_D6.csv</v>
      </c>
      <c r="B316" t="s">
        <v>255</v>
      </c>
      <c r="C316" t="s">
        <v>30</v>
      </c>
      <c r="D316" t="s">
        <v>30</v>
      </c>
      <c r="E316" t="s">
        <v>31</v>
      </c>
      <c r="F316">
        <v>2</v>
      </c>
      <c r="G316">
        <v>6</v>
      </c>
      <c r="H316" t="s">
        <v>73</v>
      </c>
      <c r="I316" t="s">
        <v>256</v>
      </c>
      <c r="J316" t="s">
        <v>34</v>
      </c>
      <c r="L316" t="s">
        <v>30</v>
      </c>
      <c r="M316">
        <v>22</v>
      </c>
      <c r="N316" t="s">
        <v>92</v>
      </c>
      <c r="O316" t="s">
        <v>243</v>
      </c>
      <c r="P316">
        <v>336</v>
      </c>
      <c r="Q316">
        <v>100</v>
      </c>
      <c r="R316" t="s">
        <v>36</v>
      </c>
      <c r="S316">
        <v>12</v>
      </c>
      <c r="T316">
        <v>12</v>
      </c>
      <c r="U316" t="s">
        <v>112</v>
      </c>
      <c r="V316" t="s">
        <v>37</v>
      </c>
      <c r="W316">
        <v>450</v>
      </c>
      <c r="X316">
        <v>532</v>
      </c>
      <c r="Y316">
        <v>8.3000000000000007</v>
      </c>
      <c r="Z316">
        <v>500</v>
      </c>
      <c r="AA316">
        <v>2000</v>
      </c>
      <c r="AB316">
        <v>50</v>
      </c>
      <c r="AC316" t="s">
        <v>40</v>
      </c>
    </row>
    <row r="317" spans="1:29" x14ac:dyDescent="0.25">
      <c r="A317" t="str">
        <f>"Raman_"&amp;E317&amp;"_"&amp;B317&amp;"_"&amp;AC317&amp;"_"&amp;TEXT(F317, "000")&amp;"_"&amp;TEXT(G317, "000")&amp;"_"&amp;H317&amp;".csv"</f>
        <v>Raman_EG_Pavlovagyrans_raw_002_006_D7.csv</v>
      </c>
      <c r="B317" t="s">
        <v>255</v>
      </c>
      <c r="C317" t="s">
        <v>30</v>
      </c>
      <c r="D317" t="s">
        <v>30</v>
      </c>
      <c r="E317" t="s">
        <v>31</v>
      </c>
      <c r="F317">
        <v>2</v>
      </c>
      <c r="G317">
        <v>6</v>
      </c>
      <c r="H317" t="s">
        <v>74</v>
      </c>
      <c r="I317" t="s">
        <v>256</v>
      </c>
      <c r="J317" t="s">
        <v>34</v>
      </c>
      <c r="L317" t="s">
        <v>30</v>
      </c>
      <c r="M317">
        <v>22</v>
      </c>
      <c r="N317" t="s">
        <v>54</v>
      </c>
      <c r="O317" t="s">
        <v>243</v>
      </c>
      <c r="P317">
        <v>336</v>
      </c>
      <c r="Q317">
        <v>100</v>
      </c>
      <c r="R317" t="s">
        <v>36</v>
      </c>
      <c r="S317">
        <v>12</v>
      </c>
      <c r="T317">
        <v>12</v>
      </c>
      <c r="U317" t="s">
        <v>112</v>
      </c>
      <c r="V317" t="s">
        <v>37</v>
      </c>
      <c r="W317">
        <v>450</v>
      </c>
      <c r="X317">
        <v>532</v>
      </c>
      <c r="Y317">
        <v>8.3000000000000007</v>
      </c>
      <c r="Z317">
        <v>500</v>
      </c>
      <c r="AA317">
        <v>2000</v>
      </c>
      <c r="AB317">
        <v>50</v>
      </c>
      <c r="AC317" t="s">
        <v>40</v>
      </c>
    </row>
    <row r="318" spans="1:29" x14ac:dyDescent="0.25">
      <c r="A318" t="str">
        <f>"Raman_"&amp;E318&amp;"_"&amp;B318&amp;"_"&amp;AC318&amp;"_"&amp;TEXT(F318, "000")&amp;"_"&amp;TEXT(G318, "000")&amp;"_"&amp;H318&amp;".csv"</f>
        <v>Raman_EG_Pavlovagyrans_raw_002_006_D8.csv</v>
      </c>
      <c r="B318" t="s">
        <v>255</v>
      </c>
      <c r="C318" t="s">
        <v>30</v>
      </c>
      <c r="D318" t="s">
        <v>30</v>
      </c>
      <c r="E318" t="s">
        <v>31</v>
      </c>
      <c r="F318">
        <v>2</v>
      </c>
      <c r="G318">
        <v>6</v>
      </c>
      <c r="H318" t="s">
        <v>75</v>
      </c>
      <c r="I318" t="s">
        <v>256</v>
      </c>
      <c r="J318" t="s">
        <v>34</v>
      </c>
      <c r="L318" t="s">
        <v>30</v>
      </c>
      <c r="M318">
        <v>22</v>
      </c>
      <c r="N318" t="s">
        <v>94</v>
      </c>
      <c r="O318" t="s">
        <v>243</v>
      </c>
      <c r="P318">
        <v>336</v>
      </c>
      <c r="Q318">
        <v>100</v>
      </c>
      <c r="R318" t="s">
        <v>36</v>
      </c>
      <c r="S318">
        <v>12</v>
      </c>
      <c r="T318">
        <v>12</v>
      </c>
      <c r="U318" t="s">
        <v>112</v>
      </c>
      <c r="V318" t="s">
        <v>37</v>
      </c>
      <c r="W318">
        <v>450</v>
      </c>
      <c r="X318">
        <v>532</v>
      </c>
      <c r="Y318">
        <v>8.3000000000000007</v>
      </c>
      <c r="Z318">
        <v>500</v>
      </c>
      <c r="AA318">
        <v>2000</v>
      </c>
      <c r="AB318">
        <v>50</v>
      </c>
      <c r="AC318" t="s">
        <v>40</v>
      </c>
    </row>
    <row r="319" spans="1:29" x14ac:dyDescent="0.25">
      <c r="A319" t="str">
        <f>"Raman_"&amp;E319&amp;"_"&amp;B319&amp;"_"&amp;AC319&amp;"_"&amp;TEXT(F319, "000")&amp;"_"&amp;TEXT(G319, "000")&amp;"_"&amp;H319&amp;".csv"</f>
        <v>Raman_EG_Pavlovagyrans_raw_002_006_D9.csv</v>
      </c>
      <c r="B319" t="s">
        <v>255</v>
      </c>
      <c r="C319" t="s">
        <v>30</v>
      </c>
      <c r="D319" t="s">
        <v>30</v>
      </c>
      <c r="E319" t="s">
        <v>31</v>
      </c>
      <c r="F319">
        <v>2</v>
      </c>
      <c r="G319">
        <v>6</v>
      </c>
      <c r="H319" t="s">
        <v>76</v>
      </c>
      <c r="I319" t="s">
        <v>256</v>
      </c>
      <c r="J319" t="s">
        <v>34</v>
      </c>
      <c r="L319" t="s">
        <v>30</v>
      </c>
      <c r="M319">
        <v>22</v>
      </c>
      <c r="N319" t="s">
        <v>56</v>
      </c>
      <c r="O319" t="s">
        <v>243</v>
      </c>
      <c r="P319">
        <v>336</v>
      </c>
      <c r="Q319">
        <v>100</v>
      </c>
      <c r="R319" t="s">
        <v>36</v>
      </c>
      <c r="S319">
        <v>12</v>
      </c>
      <c r="T319">
        <v>12</v>
      </c>
      <c r="U319" t="s">
        <v>112</v>
      </c>
      <c r="V319" t="s">
        <v>37</v>
      </c>
      <c r="W319">
        <v>450</v>
      </c>
      <c r="X319">
        <v>532</v>
      </c>
      <c r="Y319">
        <v>8.3000000000000007</v>
      </c>
      <c r="Z319">
        <v>500</v>
      </c>
      <c r="AA319">
        <v>2000</v>
      </c>
      <c r="AB319">
        <v>50</v>
      </c>
      <c r="AC319" t="s">
        <v>40</v>
      </c>
    </row>
    <row r="320" spans="1:29" x14ac:dyDescent="0.25">
      <c r="A320" t="str">
        <f>"Raman_"&amp;E320&amp;"_"&amp;B320&amp;"_"&amp;AC320&amp;"_"&amp;TEXT(F320, "000")&amp;"_"&amp;TEXT(G320, "000")&amp;"_"&amp;H320&amp;".csv"</f>
        <v>Raman_EG_Pavlovagyrans_raw_002_006_D10.csv</v>
      </c>
      <c r="B320" t="s">
        <v>255</v>
      </c>
      <c r="C320" t="s">
        <v>30</v>
      </c>
      <c r="D320" t="s">
        <v>30</v>
      </c>
      <c r="E320" t="s">
        <v>31</v>
      </c>
      <c r="F320">
        <v>2</v>
      </c>
      <c r="G320">
        <v>6</v>
      </c>
      <c r="H320" t="s">
        <v>77</v>
      </c>
      <c r="I320" t="s">
        <v>256</v>
      </c>
      <c r="J320" t="s">
        <v>34</v>
      </c>
      <c r="L320" t="s">
        <v>30</v>
      </c>
      <c r="M320">
        <v>22</v>
      </c>
      <c r="N320" t="s">
        <v>96</v>
      </c>
      <c r="O320" t="s">
        <v>243</v>
      </c>
      <c r="P320">
        <v>336</v>
      </c>
      <c r="Q320">
        <v>100</v>
      </c>
      <c r="R320" t="s">
        <v>36</v>
      </c>
      <c r="S320">
        <v>12</v>
      </c>
      <c r="T320">
        <v>12</v>
      </c>
      <c r="U320" t="s">
        <v>112</v>
      </c>
      <c r="V320" t="s">
        <v>37</v>
      </c>
      <c r="W320">
        <v>450</v>
      </c>
      <c r="X320">
        <v>532</v>
      </c>
      <c r="Y320">
        <v>8.3000000000000007</v>
      </c>
      <c r="Z320">
        <v>500</v>
      </c>
      <c r="AA320">
        <v>2000</v>
      </c>
      <c r="AB320">
        <v>50</v>
      </c>
      <c r="AC320" t="s">
        <v>40</v>
      </c>
    </row>
    <row r="321" spans="1:29" x14ac:dyDescent="0.25">
      <c r="A321" t="str">
        <f>"Raman_"&amp;E321&amp;"_"&amp;B321&amp;"_"&amp;AC321&amp;"_"&amp;TEXT(F321, "000")&amp;"_"&amp;TEXT(G321, "000")&amp;"_"&amp;H321&amp;".csv"</f>
        <v>Raman_EG_Pavlovagyrans_raw_002_006_D11.csv</v>
      </c>
      <c r="B321" t="s">
        <v>255</v>
      </c>
      <c r="C321" t="s">
        <v>30</v>
      </c>
      <c r="D321" t="s">
        <v>30</v>
      </c>
      <c r="E321" t="s">
        <v>31</v>
      </c>
      <c r="F321">
        <v>2</v>
      </c>
      <c r="G321">
        <v>6</v>
      </c>
      <c r="H321" t="s">
        <v>78</v>
      </c>
      <c r="I321" t="s">
        <v>256</v>
      </c>
      <c r="J321" t="s">
        <v>34</v>
      </c>
      <c r="L321" t="s">
        <v>30</v>
      </c>
      <c r="M321">
        <v>22</v>
      </c>
      <c r="N321" t="s">
        <v>58</v>
      </c>
      <c r="O321" t="s">
        <v>243</v>
      </c>
      <c r="P321">
        <v>336</v>
      </c>
      <c r="Q321">
        <v>100</v>
      </c>
      <c r="R321" t="s">
        <v>36</v>
      </c>
      <c r="S321">
        <v>12</v>
      </c>
      <c r="T321">
        <v>12</v>
      </c>
      <c r="U321" t="s">
        <v>112</v>
      </c>
      <c r="V321" t="s">
        <v>37</v>
      </c>
      <c r="W321">
        <v>450</v>
      </c>
      <c r="X321">
        <v>532</v>
      </c>
      <c r="Y321">
        <v>8.3000000000000007</v>
      </c>
      <c r="Z321">
        <v>500</v>
      </c>
      <c r="AA321">
        <v>2000</v>
      </c>
      <c r="AB321">
        <v>50</v>
      </c>
      <c r="AC321" t="s">
        <v>40</v>
      </c>
    </row>
    <row r="322" spans="1:29" x14ac:dyDescent="0.25">
      <c r="A322" t="str">
        <f>"Raman_"&amp;E322&amp;"_"&amp;B322&amp;"_"&amp;AC322&amp;"_"&amp;TEXT(F322, "000")&amp;"_"&amp;TEXT(G322, "000")&amp;"_"&amp;H322&amp;".csv"</f>
        <v>Raman_EG_Pavlovagyrans_raw_002_006_E1.csv</v>
      </c>
      <c r="B322" t="s">
        <v>255</v>
      </c>
      <c r="C322" t="s">
        <v>30</v>
      </c>
      <c r="D322" t="s">
        <v>30</v>
      </c>
      <c r="E322" t="s">
        <v>31</v>
      </c>
      <c r="F322">
        <v>2</v>
      </c>
      <c r="G322">
        <v>6</v>
      </c>
      <c r="H322" t="s">
        <v>155</v>
      </c>
      <c r="I322" t="s">
        <v>256</v>
      </c>
      <c r="J322" t="s">
        <v>34</v>
      </c>
      <c r="L322" t="s">
        <v>30</v>
      </c>
      <c r="M322">
        <v>22</v>
      </c>
      <c r="N322" t="s">
        <v>48</v>
      </c>
      <c r="O322" t="s">
        <v>243</v>
      </c>
      <c r="P322">
        <v>336</v>
      </c>
      <c r="Q322">
        <v>100</v>
      </c>
      <c r="R322" t="s">
        <v>36</v>
      </c>
      <c r="S322">
        <v>12</v>
      </c>
      <c r="T322">
        <v>12</v>
      </c>
      <c r="U322" t="s">
        <v>112</v>
      </c>
      <c r="V322" t="s">
        <v>37</v>
      </c>
      <c r="W322">
        <v>450</v>
      </c>
      <c r="X322">
        <v>532</v>
      </c>
      <c r="Y322">
        <v>8.3000000000000007</v>
      </c>
      <c r="Z322">
        <v>500</v>
      </c>
      <c r="AA322">
        <v>2000</v>
      </c>
      <c r="AB322">
        <v>50</v>
      </c>
      <c r="AC322" t="s">
        <v>40</v>
      </c>
    </row>
    <row r="323" spans="1:29" x14ac:dyDescent="0.25">
      <c r="A323" t="str">
        <f>"Raman_"&amp;E323&amp;"_"&amp;B323&amp;"_"&amp;AC323&amp;"_"&amp;TEXT(F323, "000")&amp;"_"&amp;TEXT(G323, "000")&amp;"_"&amp;H323&amp;".csv"</f>
        <v>Raman_EG_Pavlovagyrans_raw_002_006_E2.csv</v>
      </c>
      <c r="B323" t="s">
        <v>255</v>
      </c>
      <c r="C323" t="s">
        <v>30</v>
      </c>
      <c r="D323" t="s">
        <v>30</v>
      </c>
      <c r="E323" t="s">
        <v>31</v>
      </c>
      <c r="F323">
        <v>2</v>
      </c>
      <c r="G323">
        <v>6</v>
      </c>
      <c r="H323" t="s">
        <v>79</v>
      </c>
      <c r="I323" t="s">
        <v>256</v>
      </c>
      <c r="J323" t="s">
        <v>34</v>
      </c>
      <c r="L323" t="s">
        <v>30</v>
      </c>
      <c r="M323">
        <v>22</v>
      </c>
      <c r="N323" t="s">
        <v>88</v>
      </c>
      <c r="O323" t="s">
        <v>243</v>
      </c>
      <c r="P323">
        <v>336</v>
      </c>
      <c r="Q323">
        <v>100</v>
      </c>
      <c r="R323" t="s">
        <v>36</v>
      </c>
      <c r="S323">
        <v>12</v>
      </c>
      <c r="T323">
        <v>12</v>
      </c>
      <c r="U323" t="s">
        <v>112</v>
      </c>
      <c r="V323" t="s">
        <v>37</v>
      </c>
      <c r="W323">
        <v>450</v>
      </c>
      <c r="X323">
        <v>532</v>
      </c>
      <c r="Y323">
        <v>8.3000000000000007</v>
      </c>
      <c r="Z323">
        <v>500</v>
      </c>
      <c r="AA323">
        <v>2000</v>
      </c>
      <c r="AB323">
        <v>50</v>
      </c>
      <c r="AC323" t="s">
        <v>40</v>
      </c>
    </row>
    <row r="324" spans="1:29" x14ac:dyDescent="0.25">
      <c r="A324" t="str">
        <f>"Raman_"&amp;E324&amp;"_"&amp;B324&amp;"_"&amp;AC324&amp;"_"&amp;TEXT(F324, "000")&amp;"_"&amp;TEXT(G324, "000")&amp;"_"&amp;H324&amp;".csv"</f>
        <v>Raman_EG_Pavlovagyrans_raw_002_006_E3.csv</v>
      </c>
      <c r="B324" t="s">
        <v>255</v>
      </c>
      <c r="C324" t="s">
        <v>30</v>
      </c>
      <c r="D324" t="s">
        <v>30</v>
      </c>
      <c r="E324" t="s">
        <v>31</v>
      </c>
      <c r="F324">
        <v>2</v>
      </c>
      <c r="G324">
        <v>6</v>
      </c>
      <c r="H324" t="s">
        <v>81</v>
      </c>
      <c r="I324" t="s">
        <v>256</v>
      </c>
      <c r="J324" t="s">
        <v>34</v>
      </c>
      <c r="L324" t="s">
        <v>30</v>
      </c>
      <c r="M324">
        <v>22</v>
      </c>
      <c r="N324" t="s">
        <v>50</v>
      </c>
      <c r="O324" t="s">
        <v>243</v>
      </c>
      <c r="P324">
        <v>336</v>
      </c>
      <c r="Q324">
        <v>100</v>
      </c>
      <c r="R324" t="s">
        <v>36</v>
      </c>
      <c r="S324">
        <v>12</v>
      </c>
      <c r="T324">
        <v>12</v>
      </c>
      <c r="U324" t="s">
        <v>112</v>
      </c>
      <c r="V324" t="s">
        <v>37</v>
      </c>
      <c r="W324">
        <v>450</v>
      </c>
      <c r="X324">
        <v>532</v>
      </c>
      <c r="Y324">
        <v>8.3000000000000007</v>
      </c>
      <c r="Z324">
        <v>500</v>
      </c>
      <c r="AA324">
        <v>2000</v>
      </c>
      <c r="AB324">
        <v>50</v>
      </c>
      <c r="AC324" t="s">
        <v>40</v>
      </c>
    </row>
    <row r="325" spans="1:29" x14ac:dyDescent="0.25">
      <c r="A325" t="str">
        <f>"Raman_"&amp;E325&amp;"_"&amp;B325&amp;"_"&amp;AC325&amp;"_"&amp;TEXT(F325, "000")&amp;"_"&amp;TEXT(G325, "000")&amp;"_"&amp;H325&amp;".csv"</f>
        <v>Raman_EG_Pavlovagyrans_raw_002_006_E4.csv</v>
      </c>
      <c r="B325" t="s">
        <v>255</v>
      </c>
      <c r="C325" t="s">
        <v>30</v>
      </c>
      <c r="D325" t="s">
        <v>30</v>
      </c>
      <c r="E325" t="s">
        <v>31</v>
      </c>
      <c r="F325">
        <v>2</v>
      </c>
      <c r="G325">
        <v>6</v>
      </c>
      <c r="H325" t="s">
        <v>83</v>
      </c>
      <c r="I325" t="s">
        <v>256</v>
      </c>
      <c r="J325" t="s">
        <v>34</v>
      </c>
      <c r="L325" t="s">
        <v>30</v>
      </c>
      <c r="M325">
        <v>22</v>
      </c>
      <c r="N325" t="s">
        <v>90</v>
      </c>
      <c r="O325" t="s">
        <v>243</v>
      </c>
      <c r="P325">
        <v>336</v>
      </c>
      <c r="Q325">
        <v>100</v>
      </c>
      <c r="R325" t="s">
        <v>36</v>
      </c>
      <c r="S325">
        <v>12</v>
      </c>
      <c r="T325">
        <v>12</v>
      </c>
      <c r="U325" t="s">
        <v>112</v>
      </c>
      <c r="V325" t="s">
        <v>37</v>
      </c>
      <c r="W325">
        <v>450</v>
      </c>
      <c r="X325">
        <v>532</v>
      </c>
      <c r="Y325">
        <v>8.3000000000000007</v>
      </c>
      <c r="Z325">
        <v>500</v>
      </c>
      <c r="AA325">
        <v>2000</v>
      </c>
      <c r="AB325">
        <v>50</v>
      </c>
      <c r="AC325" t="s">
        <v>40</v>
      </c>
    </row>
    <row r="326" spans="1:29" x14ac:dyDescent="0.25">
      <c r="A326" t="str">
        <f>"Raman_"&amp;E326&amp;"_"&amp;B326&amp;"_"&amp;AC326&amp;"_"&amp;TEXT(F326, "000")&amp;"_"&amp;TEXT(G326, "000")&amp;"_"&amp;H326&amp;".csv"</f>
        <v>Raman_EG_Pavlovagyrans_raw_002_006_E5.csv</v>
      </c>
      <c r="B326" t="s">
        <v>255</v>
      </c>
      <c r="C326" t="s">
        <v>30</v>
      </c>
      <c r="D326" t="s">
        <v>30</v>
      </c>
      <c r="E326" t="s">
        <v>31</v>
      </c>
      <c r="F326">
        <v>2</v>
      </c>
      <c r="G326">
        <v>6</v>
      </c>
      <c r="H326" t="s">
        <v>85</v>
      </c>
      <c r="I326" t="s">
        <v>256</v>
      </c>
      <c r="J326" t="s">
        <v>34</v>
      </c>
      <c r="L326" t="s">
        <v>30</v>
      </c>
      <c r="M326">
        <v>22</v>
      </c>
      <c r="N326" t="s">
        <v>52</v>
      </c>
      <c r="O326" t="s">
        <v>243</v>
      </c>
      <c r="P326">
        <v>336</v>
      </c>
      <c r="Q326">
        <v>100</v>
      </c>
      <c r="R326" t="s">
        <v>36</v>
      </c>
      <c r="S326">
        <v>12</v>
      </c>
      <c r="T326">
        <v>12</v>
      </c>
      <c r="U326" t="s">
        <v>112</v>
      </c>
      <c r="V326" t="s">
        <v>37</v>
      </c>
      <c r="W326">
        <v>450</v>
      </c>
      <c r="X326">
        <v>532</v>
      </c>
      <c r="Y326">
        <v>8.3000000000000007</v>
      </c>
      <c r="Z326">
        <v>500</v>
      </c>
      <c r="AA326">
        <v>2000</v>
      </c>
      <c r="AB326">
        <v>50</v>
      </c>
      <c r="AC326" t="s">
        <v>40</v>
      </c>
    </row>
    <row r="327" spans="1:29" x14ac:dyDescent="0.25">
      <c r="A327" t="str">
        <f>"Raman_"&amp;E327&amp;"_"&amp;B327&amp;"_"&amp;AC327&amp;"_"&amp;TEXT(F327, "000")&amp;"_"&amp;TEXT(G327, "000")&amp;"_"&amp;H327&amp;".csv"</f>
        <v>Raman_EG_Pavlovagyrans_raw_002_006_E6.csv</v>
      </c>
      <c r="B327" t="s">
        <v>255</v>
      </c>
      <c r="C327" t="s">
        <v>30</v>
      </c>
      <c r="D327" t="s">
        <v>30</v>
      </c>
      <c r="E327" t="s">
        <v>31</v>
      </c>
      <c r="F327">
        <v>2</v>
      </c>
      <c r="G327">
        <v>6</v>
      </c>
      <c r="H327" t="s">
        <v>87</v>
      </c>
      <c r="I327" t="s">
        <v>256</v>
      </c>
      <c r="J327" t="s">
        <v>34</v>
      </c>
      <c r="L327" t="s">
        <v>30</v>
      </c>
      <c r="M327">
        <v>22</v>
      </c>
      <c r="N327" t="s">
        <v>92</v>
      </c>
      <c r="O327" t="s">
        <v>243</v>
      </c>
      <c r="P327">
        <v>336</v>
      </c>
      <c r="Q327">
        <v>100</v>
      </c>
      <c r="R327" t="s">
        <v>36</v>
      </c>
      <c r="S327">
        <v>12</v>
      </c>
      <c r="T327">
        <v>12</v>
      </c>
      <c r="U327" t="s">
        <v>112</v>
      </c>
      <c r="V327" t="s">
        <v>37</v>
      </c>
      <c r="W327">
        <v>450</v>
      </c>
      <c r="X327">
        <v>532</v>
      </c>
      <c r="Y327">
        <v>8.3000000000000007</v>
      </c>
      <c r="Z327">
        <v>500</v>
      </c>
      <c r="AA327">
        <v>2000</v>
      </c>
      <c r="AB327">
        <v>50</v>
      </c>
      <c r="AC327" t="s">
        <v>40</v>
      </c>
    </row>
    <row r="328" spans="1:29" x14ac:dyDescent="0.25">
      <c r="A328" t="str">
        <f>"Raman_"&amp;E328&amp;"_"&amp;B328&amp;"_"&amp;AC328&amp;"_"&amp;TEXT(F328, "000")&amp;"_"&amp;TEXT(G328, "000")&amp;"_"&amp;H328&amp;".csv"</f>
        <v>Raman_EG_Pavlovagyrans_raw_002_006_E7.csv</v>
      </c>
      <c r="B328" t="s">
        <v>255</v>
      </c>
      <c r="C328" t="s">
        <v>30</v>
      </c>
      <c r="D328" t="s">
        <v>30</v>
      </c>
      <c r="E328" t="s">
        <v>31</v>
      </c>
      <c r="F328">
        <v>2</v>
      </c>
      <c r="G328">
        <v>6</v>
      </c>
      <c r="H328" t="s">
        <v>89</v>
      </c>
      <c r="I328" t="s">
        <v>256</v>
      </c>
      <c r="J328" t="s">
        <v>34</v>
      </c>
      <c r="L328" t="s">
        <v>30</v>
      </c>
      <c r="M328">
        <v>22</v>
      </c>
      <c r="N328" t="s">
        <v>54</v>
      </c>
      <c r="O328" t="s">
        <v>243</v>
      </c>
      <c r="P328">
        <v>336</v>
      </c>
      <c r="Q328">
        <v>100</v>
      </c>
      <c r="R328" t="s">
        <v>36</v>
      </c>
      <c r="S328">
        <v>12</v>
      </c>
      <c r="T328">
        <v>12</v>
      </c>
      <c r="U328" t="s">
        <v>112</v>
      </c>
      <c r="V328" t="s">
        <v>37</v>
      </c>
      <c r="W328">
        <v>450</v>
      </c>
      <c r="X328">
        <v>532</v>
      </c>
      <c r="Y328">
        <v>8.3000000000000007</v>
      </c>
      <c r="Z328">
        <v>500</v>
      </c>
      <c r="AA328">
        <v>2000</v>
      </c>
      <c r="AB328">
        <v>50</v>
      </c>
      <c r="AC328" t="s">
        <v>40</v>
      </c>
    </row>
    <row r="329" spans="1:29" x14ac:dyDescent="0.25">
      <c r="A329" t="str">
        <f>"Raman_"&amp;E329&amp;"_"&amp;B329&amp;"_"&amp;AC329&amp;"_"&amp;TEXT(F329, "000")&amp;"_"&amp;TEXT(G329, "000")&amp;"_"&amp;H329&amp;".csv"</f>
        <v>Raman_EG_Pavlovagyrans_raw_002_006_E8.csv</v>
      </c>
      <c r="B329" t="s">
        <v>255</v>
      </c>
      <c r="C329" t="s">
        <v>30</v>
      </c>
      <c r="D329" t="s">
        <v>30</v>
      </c>
      <c r="E329" t="s">
        <v>31</v>
      </c>
      <c r="F329">
        <v>2</v>
      </c>
      <c r="G329">
        <v>6</v>
      </c>
      <c r="H329" t="s">
        <v>91</v>
      </c>
      <c r="I329" t="s">
        <v>256</v>
      </c>
      <c r="J329" t="s">
        <v>34</v>
      </c>
      <c r="L329" t="s">
        <v>30</v>
      </c>
      <c r="M329">
        <v>22</v>
      </c>
      <c r="N329" t="s">
        <v>94</v>
      </c>
      <c r="O329" t="s">
        <v>243</v>
      </c>
      <c r="P329">
        <v>336</v>
      </c>
      <c r="Q329">
        <v>100</v>
      </c>
      <c r="R329" t="s">
        <v>36</v>
      </c>
      <c r="S329">
        <v>12</v>
      </c>
      <c r="T329">
        <v>12</v>
      </c>
      <c r="U329" t="s">
        <v>112</v>
      </c>
      <c r="V329" t="s">
        <v>37</v>
      </c>
      <c r="W329">
        <v>450</v>
      </c>
      <c r="X329">
        <v>532</v>
      </c>
      <c r="Y329">
        <v>8.3000000000000007</v>
      </c>
      <c r="Z329">
        <v>500</v>
      </c>
      <c r="AA329">
        <v>2000</v>
      </c>
      <c r="AB329">
        <v>50</v>
      </c>
      <c r="AC329" t="s">
        <v>40</v>
      </c>
    </row>
    <row r="330" spans="1:29" x14ac:dyDescent="0.25">
      <c r="A330" t="str">
        <f>"Raman_"&amp;E330&amp;"_"&amp;B330&amp;"_"&amp;AC330&amp;"_"&amp;TEXT(F330, "000")&amp;"_"&amp;TEXT(G330, "000")&amp;"_"&amp;H330&amp;".csv"</f>
        <v>Raman_EG_Pavlovagyrans_raw_002_006_E9.csv</v>
      </c>
      <c r="B330" t="s">
        <v>255</v>
      </c>
      <c r="C330" t="s">
        <v>30</v>
      </c>
      <c r="D330" t="s">
        <v>30</v>
      </c>
      <c r="E330" t="s">
        <v>31</v>
      </c>
      <c r="F330">
        <v>2</v>
      </c>
      <c r="G330">
        <v>6</v>
      </c>
      <c r="H330" t="s">
        <v>93</v>
      </c>
      <c r="I330" t="s">
        <v>256</v>
      </c>
      <c r="J330" t="s">
        <v>34</v>
      </c>
      <c r="L330" t="s">
        <v>30</v>
      </c>
      <c r="M330">
        <v>22</v>
      </c>
      <c r="N330" t="s">
        <v>56</v>
      </c>
      <c r="O330" t="s">
        <v>243</v>
      </c>
      <c r="P330">
        <v>336</v>
      </c>
      <c r="Q330">
        <v>100</v>
      </c>
      <c r="R330" t="s">
        <v>36</v>
      </c>
      <c r="S330">
        <v>12</v>
      </c>
      <c r="T330">
        <v>12</v>
      </c>
      <c r="U330" t="s">
        <v>112</v>
      </c>
      <c r="V330" t="s">
        <v>37</v>
      </c>
      <c r="W330">
        <v>450</v>
      </c>
      <c r="X330">
        <v>532</v>
      </c>
      <c r="Y330">
        <v>8.3000000000000007</v>
      </c>
      <c r="Z330">
        <v>500</v>
      </c>
      <c r="AA330">
        <v>2000</v>
      </c>
      <c r="AB330">
        <v>50</v>
      </c>
      <c r="AC330" t="s">
        <v>40</v>
      </c>
    </row>
    <row r="331" spans="1:29" x14ac:dyDescent="0.25">
      <c r="A331" t="str">
        <f>"Raman_"&amp;E331&amp;"_"&amp;B331&amp;"_"&amp;AC331&amp;"_"&amp;TEXT(F331, "000")&amp;"_"&amp;TEXT(G331, "000")&amp;"_"&amp;H331&amp;".csv"</f>
        <v>Raman_EG_Pavlovagyrans_raw_002_006_E10.csv</v>
      </c>
      <c r="B331" t="s">
        <v>255</v>
      </c>
      <c r="C331" t="s">
        <v>30</v>
      </c>
      <c r="D331" t="s">
        <v>30</v>
      </c>
      <c r="E331" t="s">
        <v>31</v>
      </c>
      <c r="F331">
        <v>2</v>
      </c>
      <c r="G331">
        <v>6</v>
      </c>
      <c r="H331" t="s">
        <v>95</v>
      </c>
      <c r="I331" t="s">
        <v>256</v>
      </c>
      <c r="J331" t="s">
        <v>34</v>
      </c>
      <c r="L331" t="s">
        <v>30</v>
      </c>
      <c r="M331">
        <v>22</v>
      </c>
      <c r="N331" t="s">
        <v>96</v>
      </c>
      <c r="O331" t="s">
        <v>243</v>
      </c>
      <c r="P331">
        <v>336</v>
      </c>
      <c r="Q331">
        <v>100</v>
      </c>
      <c r="R331" t="s">
        <v>36</v>
      </c>
      <c r="S331">
        <v>12</v>
      </c>
      <c r="T331">
        <v>12</v>
      </c>
      <c r="U331" t="s">
        <v>112</v>
      </c>
      <c r="V331" t="s">
        <v>37</v>
      </c>
      <c r="W331">
        <v>450</v>
      </c>
      <c r="X331">
        <v>532</v>
      </c>
      <c r="Y331">
        <v>8.3000000000000007</v>
      </c>
      <c r="Z331">
        <v>500</v>
      </c>
      <c r="AA331">
        <v>2000</v>
      </c>
      <c r="AB331">
        <v>50</v>
      </c>
      <c r="AC331" t="s">
        <v>40</v>
      </c>
    </row>
    <row r="332" spans="1:29" x14ac:dyDescent="0.25">
      <c r="A332" t="str">
        <f>"Raman_"&amp;E332&amp;"_"&amp;B332&amp;"_"&amp;AC332&amp;"_"&amp;TEXT(F332, "000")&amp;"_"&amp;TEXT(G332, "000")&amp;"_"&amp;H332&amp;".csv"</f>
        <v>Raman_EG_Pavlovagyrans_raw_002_006_E11.csv</v>
      </c>
      <c r="B332" t="s">
        <v>255</v>
      </c>
      <c r="C332" t="s">
        <v>30</v>
      </c>
      <c r="D332" t="s">
        <v>30</v>
      </c>
      <c r="E332" t="s">
        <v>31</v>
      </c>
      <c r="F332">
        <v>2</v>
      </c>
      <c r="G332">
        <v>6</v>
      </c>
      <c r="H332" t="s">
        <v>97</v>
      </c>
      <c r="I332" t="s">
        <v>256</v>
      </c>
      <c r="J332" t="s">
        <v>34</v>
      </c>
      <c r="L332" t="s">
        <v>30</v>
      </c>
      <c r="M332">
        <v>22</v>
      </c>
      <c r="N332" t="s">
        <v>58</v>
      </c>
      <c r="O332" t="s">
        <v>243</v>
      </c>
      <c r="P332">
        <v>336</v>
      </c>
      <c r="Q332">
        <v>100</v>
      </c>
      <c r="R332" t="s">
        <v>36</v>
      </c>
      <c r="S332">
        <v>12</v>
      </c>
      <c r="T332">
        <v>12</v>
      </c>
      <c r="U332" t="s">
        <v>112</v>
      </c>
      <c r="V332" t="s">
        <v>37</v>
      </c>
      <c r="W332">
        <v>450</v>
      </c>
      <c r="X332">
        <v>532</v>
      </c>
      <c r="Y332">
        <v>8.3000000000000007</v>
      </c>
      <c r="Z332">
        <v>500</v>
      </c>
      <c r="AA332">
        <v>2000</v>
      </c>
      <c r="AB332">
        <v>50</v>
      </c>
      <c r="AC332" t="s">
        <v>40</v>
      </c>
    </row>
    <row r="333" spans="1:29" x14ac:dyDescent="0.25">
      <c r="A333" t="str">
        <f>"Raman_"&amp;E333&amp;"_"&amp;B333&amp;"_"&amp;AC333&amp;"_"&amp;TEXT(F333, "000")&amp;"_"&amp;TEXT(G333, "000")&amp;"_"&amp;H333&amp;".csv"</f>
        <v>Raman_EG_Pavlovagyrans_raw_002_006_F1.csv</v>
      </c>
      <c r="B333" t="s">
        <v>255</v>
      </c>
      <c r="C333" t="s">
        <v>30</v>
      </c>
      <c r="D333" t="s">
        <v>30</v>
      </c>
      <c r="E333" t="s">
        <v>31</v>
      </c>
      <c r="F333">
        <v>2</v>
      </c>
      <c r="G333">
        <v>6</v>
      </c>
      <c r="H333" t="s">
        <v>164</v>
      </c>
      <c r="I333" t="s">
        <v>256</v>
      </c>
      <c r="J333" t="s">
        <v>34</v>
      </c>
      <c r="L333" t="s">
        <v>30</v>
      </c>
      <c r="M333">
        <v>22</v>
      </c>
      <c r="N333" t="s">
        <v>48</v>
      </c>
      <c r="O333" t="s">
        <v>243</v>
      </c>
      <c r="P333">
        <v>336</v>
      </c>
      <c r="Q333">
        <v>100</v>
      </c>
      <c r="R333" t="s">
        <v>36</v>
      </c>
      <c r="S333">
        <v>12</v>
      </c>
      <c r="T333">
        <v>12</v>
      </c>
      <c r="U333" t="s">
        <v>112</v>
      </c>
      <c r="V333" t="s">
        <v>37</v>
      </c>
      <c r="W333">
        <v>450</v>
      </c>
      <c r="X333">
        <v>532</v>
      </c>
      <c r="Y333">
        <v>8.3000000000000007</v>
      </c>
      <c r="Z333">
        <v>500</v>
      </c>
      <c r="AA333">
        <v>2000</v>
      </c>
      <c r="AB333">
        <v>50</v>
      </c>
      <c r="AC333" t="s">
        <v>40</v>
      </c>
    </row>
    <row r="334" spans="1:29" x14ac:dyDescent="0.25">
      <c r="A334" t="str">
        <f>"Raman_"&amp;E334&amp;"_"&amp;B334&amp;"_"&amp;AC334&amp;"_"&amp;TEXT(F334, "000")&amp;"_"&amp;TEXT(G334, "000")&amp;"_"&amp;H334&amp;".csv"</f>
        <v>Raman_EG_Pavlovagyrans_raw_002_006_F2.csv</v>
      </c>
      <c r="B334" t="s">
        <v>255</v>
      </c>
      <c r="C334" t="s">
        <v>30</v>
      </c>
      <c r="D334" t="s">
        <v>30</v>
      </c>
      <c r="E334" t="s">
        <v>31</v>
      </c>
      <c r="F334">
        <v>2</v>
      </c>
      <c r="G334">
        <v>6</v>
      </c>
      <c r="H334" t="s">
        <v>98</v>
      </c>
      <c r="I334" t="s">
        <v>256</v>
      </c>
      <c r="J334" t="s">
        <v>34</v>
      </c>
      <c r="L334" t="s">
        <v>30</v>
      </c>
      <c r="M334">
        <v>22</v>
      </c>
      <c r="N334" t="s">
        <v>88</v>
      </c>
      <c r="O334" t="s">
        <v>243</v>
      </c>
      <c r="P334">
        <v>336</v>
      </c>
      <c r="Q334">
        <v>100</v>
      </c>
      <c r="R334" t="s">
        <v>36</v>
      </c>
      <c r="S334">
        <v>12</v>
      </c>
      <c r="T334">
        <v>12</v>
      </c>
      <c r="U334" t="s">
        <v>112</v>
      </c>
      <c r="V334" t="s">
        <v>37</v>
      </c>
      <c r="W334">
        <v>450</v>
      </c>
      <c r="X334">
        <v>532</v>
      </c>
      <c r="Y334">
        <v>8.3000000000000007</v>
      </c>
      <c r="Z334">
        <v>500</v>
      </c>
      <c r="AA334">
        <v>2000</v>
      </c>
      <c r="AB334">
        <v>50</v>
      </c>
      <c r="AC334" t="s">
        <v>40</v>
      </c>
    </row>
    <row r="335" spans="1:29" x14ac:dyDescent="0.25">
      <c r="A335" t="str">
        <f>"Raman_"&amp;E335&amp;"_"&amp;B335&amp;"_"&amp;AC335&amp;"_"&amp;TEXT(F335, "000")&amp;"_"&amp;TEXT(G335, "000")&amp;"_"&amp;H335&amp;".csv"</f>
        <v>Raman_EG_Pavlovagyrans_raw_002_006_F3.csv</v>
      </c>
      <c r="B335" t="s">
        <v>255</v>
      </c>
      <c r="C335" t="s">
        <v>30</v>
      </c>
      <c r="D335" t="s">
        <v>30</v>
      </c>
      <c r="E335" t="s">
        <v>31</v>
      </c>
      <c r="F335">
        <v>2</v>
      </c>
      <c r="G335">
        <v>6</v>
      </c>
      <c r="H335" t="s">
        <v>99</v>
      </c>
      <c r="I335" t="s">
        <v>256</v>
      </c>
      <c r="J335" t="s">
        <v>34</v>
      </c>
      <c r="L335" t="s">
        <v>30</v>
      </c>
      <c r="M335">
        <v>22</v>
      </c>
      <c r="N335" t="s">
        <v>50</v>
      </c>
      <c r="O335" t="s">
        <v>243</v>
      </c>
      <c r="P335">
        <v>336</v>
      </c>
      <c r="Q335">
        <v>100</v>
      </c>
      <c r="R335" t="s">
        <v>36</v>
      </c>
      <c r="S335">
        <v>12</v>
      </c>
      <c r="T335">
        <v>12</v>
      </c>
      <c r="U335" t="s">
        <v>112</v>
      </c>
      <c r="V335" t="s">
        <v>37</v>
      </c>
      <c r="W335">
        <v>450</v>
      </c>
      <c r="X335">
        <v>532</v>
      </c>
      <c r="Y335">
        <v>8.3000000000000007</v>
      </c>
      <c r="Z335">
        <v>500</v>
      </c>
      <c r="AA335">
        <v>2000</v>
      </c>
      <c r="AB335">
        <v>50</v>
      </c>
      <c r="AC335" t="s">
        <v>40</v>
      </c>
    </row>
    <row r="336" spans="1:29" x14ac:dyDescent="0.25">
      <c r="A336" t="str">
        <f>"Raman_"&amp;E336&amp;"_"&amp;B336&amp;"_"&amp;AC336&amp;"_"&amp;TEXT(F336, "000")&amp;"_"&amp;TEXT(G336, "000")&amp;"_"&amp;H336&amp;".csv"</f>
        <v>Raman_EG_Pavlovagyrans_raw_002_006_F4.csv</v>
      </c>
      <c r="B336" t="s">
        <v>255</v>
      </c>
      <c r="C336" t="s">
        <v>30</v>
      </c>
      <c r="D336" t="s">
        <v>30</v>
      </c>
      <c r="E336" t="s">
        <v>31</v>
      </c>
      <c r="F336">
        <v>2</v>
      </c>
      <c r="G336">
        <v>6</v>
      </c>
      <c r="H336" t="s">
        <v>100</v>
      </c>
      <c r="I336" t="s">
        <v>256</v>
      </c>
      <c r="J336" t="s">
        <v>34</v>
      </c>
      <c r="L336" t="s">
        <v>30</v>
      </c>
      <c r="M336">
        <v>22</v>
      </c>
      <c r="N336" t="s">
        <v>90</v>
      </c>
      <c r="O336" t="s">
        <v>243</v>
      </c>
      <c r="P336">
        <v>336</v>
      </c>
      <c r="Q336">
        <v>100</v>
      </c>
      <c r="R336" t="s">
        <v>36</v>
      </c>
      <c r="S336">
        <v>12</v>
      </c>
      <c r="T336">
        <v>12</v>
      </c>
      <c r="U336" t="s">
        <v>112</v>
      </c>
      <c r="V336" t="s">
        <v>37</v>
      </c>
      <c r="W336">
        <v>450</v>
      </c>
      <c r="X336">
        <v>532</v>
      </c>
      <c r="Y336">
        <v>8.3000000000000007</v>
      </c>
      <c r="Z336">
        <v>500</v>
      </c>
      <c r="AA336">
        <v>2000</v>
      </c>
      <c r="AB336">
        <v>50</v>
      </c>
      <c r="AC336" t="s">
        <v>40</v>
      </c>
    </row>
    <row r="337" spans="1:29" x14ac:dyDescent="0.25">
      <c r="A337" t="str">
        <f>"Raman_"&amp;E337&amp;"_"&amp;B337&amp;"_"&amp;AC337&amp;"_"&amp;TEXT(F337, "000")&amp;"_"&amp;TEXT(G337, "000")&amp;"_"&amp;H337&amp;".csv"</f>
        <v>Raman_EG_Pavlovagyrans_raw_002_006_F5.csv</v>
      </c>
      <c r="B337" t="s">
        <v>255</v>
      </c>
      <c r="C337" t="s">
        <v>30</v>
      </c>
      <c r="D337" t="s">
        <v>30</v>
      </c>
      <c r="E337" t="s">
        <v>31</v>
      </c>
      <c r="F337">
        <v>2</v>
      </c>
      <c r="G337">
        <v>6</v>
      </c>
      <c r="H337" t="s">
        <v>101</v>
      </c>
      <c r="I337" t="s">
        <v>256</v>
      </c>
      <c r="J337" t="s">
        <v>34</v>
      </c>
      <c r="L337" t="s">
        <v>30</v>
      </c>
      <c r="M337">
        <v>22</v>
      </c>
      <c r="N337" t="s">
        <v>52</v>
      </c>
      <c r="O337" t="s">
        <v>243</v>
      </c>
      <c r="P337">
        <v>336</v>
      </c>
      <c r="Q337">
        <v>100</v>
      </c>
      <c r="R337" t="s">
        <v>36</v>
      </c>
      <c r="S337">
        <v>12</v>
      </c>
      <c r="T337">
        <v>12</v>
      </c>
      <c r="U337" t="s">
        <v>112</v>
      </c>
      <c r="V337" t="s">
        <v>37</v>
      </c>
      <c r="W337">
        <v>450</v>
      </c>
      <c r="X337">
        <v>532</v>
      </c>
      <c r="Y337">
        <v>8.3000000000000007</v>
      </c>
      <c r="Z337">
        <v>500</v>
      </c>
      <c r="AA337">
        <v>2000</v>
      </c>
      <c r="AB337">
        <v>50</v>
      </c>
      <c r="AC337" t="s">
        <v>40</v>
      </c>
    </row>
    <row r="338" spans="1:29" x14ac:dyDescent="0.25">
      <c r="A338" t="str">
        <f>"Raman_"&amp;E338&amp;"_"&amp;B338&amp;"_"&amp;AC338&amp;"_"&amp;TEXT(F338, "000")&amp;"_"&amp;TEXT(G338, "000")&amp;"_"&amp;H338&amp;".csv"</f>
        <v>Raman_EG_Pavlovagyrans_raw_002_006_F6.csv</v>
      </c>
      <c r="B338" t="s">
        <v>255</v>
      </c>
      <c r="C338" t="s">
        <v>30</v>
      </c>
      <c r="D338" t="s">
        <v>30</v>
      </c>
      <c r="E338" t="s">
        <v>31</v>
      </c>
      <c r="F338">
        <v>2</v>
      </c>
      <c r="G338">
        <v>6</v>
      </c>
      <c r="H338" t="s">
        <v>102</v>
      </c>
      <c r="I338" t="s">
        <v>256</v>
      </c>
      <c r="J338" t="s">
        <v>34</v>
      </c>
      <c r="L338" t="s">
        <v>30</v>
      </c>
      <c r="M338">
        <v>22</v>
      </c>
      <c r="N338" t="s">
        <v>92</v>
      </c>
      <c r="O338" t="s">
        <v>243</v>
      </c>
      <c r="P338">
        <v>336</v>
      </c>
      <c r="Q338">
        <v>100</v>
      </c>
      <c r="R338" t="s">
        <v>36</v>
      </c>
      <c r="S338">
        <v>12</v>
      </c>
      <c r="T338">
        <v>12</v>
      </c>
      <c r="U338" t="s">
        <v>112</v>
      </c>
      <c r="V338" t="s">
        <v>37</v>
      </c>
      <c r="W338">
        <v>450</v>
      </c>
      <c r="X338">
        <v>532</v>
      </c>
      <c r="Y338">
        <v>8.3000000000000007</v>
      </c>
      <c r="Z338">
        <v>500</v>
      </c>
      <c r="AA338">
        <v>2000</v>
      </c>
      <c r="AB338">
        <v>50</v>
      </c>
      <c r="AC338" t="s">
        <v>40</v>
      </c>
    </row>
    <row r="339" spans="1:29" x14ac:dyDescent="0.25">
      <c r="A339" t="str">
        <f>"Raman_"&amp;E339&amp;"_"&amp;B339&amp;"_"&amp;AC339&amp;"_"&amp;TEXT(F339, "000")&amp;"_"&amp;TEXT(G339, "000")&amp;"_"&amp;H339&amp;".csv"</f>
        <v>Raman_EG_Pavlovagyrans_raw_002_006_F7.csv</v>
      </c>
      <c r="B339" t="s">
        <v>255</v>
      </c>
      <c r="C339" t="s">
        <v>30</v>
      </c>
      <c r="D339" t="s">
        <v>30</v>
      </c>
      <c r="E339" t="s">
        <v>31</v>
      </c>
      <c r="F339">
        <v>2</v>
      </c>
      <c r="G339">
        <v>6</v>
      </c>
      <c r="H339" t="s">
        <v>103</v>
      </c>
      <c r="I339" t="s">
        <v>256</v>
      </c>
      <c r="J339" t="s">
        <v>34</v>
      </c>
      <c r="L339" t="s">
        <v>30</v>
      </c>
      <c r="M339">
        <v>22</v>
      </c>
      <c r="N339" t="s">
        <v>54</v>
      </c>
      <c r="O339" t="s">
        <v>243</v>
      </c>
      <c r="P339">
        <v>336</v>
      </c>
      <c r="Q339">
        <v>100</v>
      </c>
      <c r="R339" t="s">
        <v>36</v>
      </c>
      <c r="S339">
        <v>12</v>
      </c>
      <c r="T339">
        <v>12</v>
      </c>
      <c r="U339" t="s">
        <v>112</v>
      </c>
      <c r="V339" t="s">
        <v>37</v>
      </c>
      <c r="W339">
        <v>450</v>
      </c>
      <c r="X339">
        <v>532</v>
      </c>
      <c r="Y339">
        <v>8.3000000000000007</v>
      </c>
      <c r="Z339">
        <v>500</v>
      </c>
      <c r="AA339">
        <v>2000</v>
      </c>
      <c r="AB339">
        <v>50</v>
      </c>
      <c r="AC339" t="s">
        <v>40</v>
      </c>
    </row>
    <row r="340" spans="1:29" x14ac:dyDescent="0.25">
      <c r="A340" t="str">
        <f>"Raman_"&amp;E340&amp;"_"&amp;B340&amp;"_"&amp;AC340&amp;"_"&amp;TEXT(F340, "000")&amp;"_"&amp;TEXT(G340, "000")&amp;"_"&amp;H340&amp;".csv"</f>
        <v>Raman_EG_Pavlovagyrans_raw_002_006_F8.csv</v>
      </c>
      <c r="B340" t="s">
        <v>255</v>
      </c>
      <c r="C340" t="s">
        <v>30</v>
      </c>
      <c r="D340" t="s">
        <v>30</v>
      </c>
      <c r="E340" t="s">
        <v>31</v>
      </c>
      <c r="F340">
        <v>2</v>
      </c>
      <c r="G340">
        <v>6</v>
      </c>
      <c r="H340" t="s">
        <v>104</v>
      </c>
      <c r="I340" t="s">
        <v>256</v>
      </c>
      <c r="J340" t="s">
        <v>34</v>
      </c>
      <c r="L340" t="s">
        <v>30</v>
      </c>
      <c r="M340">
        <v>22</v>
      </c>
      <c r="N340" t="s">
        <v>94</v>
      </c>
      <c r="O340" t="s">
        <v>243</v>
      </c>
      <c r="P340">
        <v>336</v>
      </c>
      <c r="Q340">
        <v>100</v>
      </c>
      <c r="R340" t="s">
        <v>36</v>
      </c>
      <c r="S340">
        <v>12</v>
      </c>
      <c r="T340">
        <v>12</v>
      </c>
      <c r="U340" t="s">
        <v>112</v>
      </c>
      <c r="V340" t="s">
        <v>37</v>
      </c>
      <c r="W340">
        <v>450</v>
      </c>
      <c r="X340">
        <v>532</v>
      </c>
      <c r="Y340">
        <v>8.3000000000000007</v>
      </c>
      <c r="Z340">
        <v>500</v>
      </c>
      <c r="AA340">
        <v>2000</v>
      </c>
      <c r="AB340">
        <v>50</v>
      </c>
      <c r="AC340" t="s">
        <v>40</v>
      </c>
    </row>
    <row r="341" spans="1:29" x14ac:dyDescent="0.25">
      <c r="A341" t="str">
        <f>"Raman_"&amp;E341&amp;"_"&amp;B341&amp;"_"&amp;AC341&amp;"_"&amp;TEXT(F341, "000")&amp;"_"&amp;TEXT(G341, "000")&amp;"_"&amp;H341&amp;".csv"</f>
        <v>Raman_EG_Pavlovagyrans_raw_002_006_F9.csv</v>
      </c>
      <c r="B341" t="s">
        <v>255</v>
      </c>
      <c r="C341" t="s">
        <v>30</v>
      </c>
      <c r="D341" t="s">
        <v>30</v>
      </c>
      <c r="E341" t="s">
        <v>31</v>
      </c>
      <c r="F341">
        <v>2</v>
      </c>
      <c r="G341">
        <v>6</v>
      </c>
      <c r="H341" t="s">
        <v>105</v>
      </c>
      <c r="I341" t="s">
        <v>256</v>
      </c>
      <c r="J341" t="s">
        <v>34</v>
      </c>
      <c r="L341" t="s">
        <v>30</v>
      </c>
      <c r="M341">
        <v>22</v>
      </c>
      <c r="N341" t="s">
        <v>56</v>
      </c>
      <c r="O341" t="s">
        <v>243</v>
      </c>
      <c r="P341">
        <v>336</v>
      </c>
      <c r="Q341">
        <v>100</v>
      </c>
      <c r="R341" t="s">
        <v>36</v>
      </c>
      <c r="S341">
        <v>12</v>
      </c>
      <c r="T341">
        <v>12</v>
      </c>
      <c r="U341" t="s">
        <v>112</v>
      </c>
      <c r="V341" t="s">
        <v>37</v>
      </c>
      <c r="W341">
        <v>450</v>
      </c>
      <c r="X341">
        <v>532</v>
      </c>
      <c r="Y341">
        <v>8.3000000000000007</v>
      </c>
      <c r="Z341">
        <v>500</v>
      </c>
      <c r="AA341">
        <v>2000</v>
      </c>
      <c r="AB341">
        <v>50</v>
      </c>
      <c r="AC341" t="s">
        <v>40</v>
      </c>
    </row>
    <row r="342" spans="1:29" x14ac:dyDescent="0.25">
      <c r="A342" t="str">
        <f>"Raman_"&amp;E342&amp;"_"&amp;B342&amp;"_"&amp;AC342&amp;"_"&amp;TEXT(F342, "000")&amp;"_"&amp;TEXT(G342, "000")&amp;"_"&amp;H342&amp;".csv"</f>
        <v>Raman_EG_Pavlovagyrans_raw_002_006_F10.csv</v>
      </c>
      <c r="B342" t="s">
        <v>255</v>
      </c>
      <c r="C342" t="s">
        <v>30</v>
      </c>
      <c r="D342" t="s">
        <v>30</v>
      </c>
      <c r="E342" t="s">
        <v>31</v>
      </c>
      <c r="F342">
        <v>2</v>
      </c>
      <c r="G342">
        <v>6</v>
      </c>
      <c r="H342" t="s">
        <v>106</v>
      </c>
      <c r="I342" t="s">
        <v>256</v>
      </c>
      <c r="J342" t="s">
        <v>34</v>
      </c>
      <c r="L342" t="s">
        <v>30</v>
      </c>
      <c r="M342">
        <v>22</v>
      </c>
      <c r="N342" t="s">
        <v>96</v>
      </c>
      <c r="O342" t="s">
        <v>243</v>
      </c>
      <c r="P342">
        <v>336</v>
      </c>
      <c r="Q342">
        <v>100</v>
      </c>
      <c r="R342" t="s">
        <v>36</v>
      </c>
      <c r="S342">
        <v>12</v>
      </c>
      <c r="T342">
        <v>12</v>
      </c>
      <c r="U342" t="s">
        <v>112</v>
      </c>
      <c r="V342" t="s">
        <v>37</v>
      </c>
      <c r="W342">
        <v>450</v>
      </c>
      <c r="X342">
        <v>532</v>
      </c>
      <c r="Y342">
        <v>8.3000000000000007</v>
      </c>
      <c r="Z342">
        <v>500</v>
      </c>
      <c r="AA342">
        <v>2000</v>
      </c>
      <c r="AB342">
        <v>50</v>
      </c>
      <c r="AC342" t="s">
        <v>40</v>
      </c>
    </row>
    <row r="343" spans="1:29" x14ac:dyDescent="0.25">
      <c r="A343" t="str">
        <f>"Raman_"&amp;E343&amp;"_"&amp;B343&amp;"_"&amp;AC343&amp;"_"&amp;TEXT(F343, "000")&amp;"_"&amp;TEXT(G343, "000")&amp;"_"&amp;H343&amp;".csv"</f>
        <v>Raman_EG_Pavlovagyrans_raw_002_006_F11.csv</v>
      </c>
      <c r="B343" t="s">
        <v>255</v>
      </c>
      <c r="C343" t="s">
        <v>30</v>
      </c>
      <c r="D343" t="s">
        <v>30</v>
      </c>
      <c r="E343" t="s">
        <v>31</v>
      </c>
      <c r="F343">
        <v>2</v>
      </c>
      <c r="G343">
        <v>6</v>
      </c>
      <c r="H343" t="s">
        <v>107</v>
      </c>
      <c r="I343" t="s">
        <v>256</v>
      </c>
      <c r="J343" t="s">
        <v>34</v>
      </c>
      <c r="L343" t="s">
        <v>30</v>
      </c>
      <c r="M343">
        <v>22</v>
      </c>
      <c r="N343" t="s">
        <v>58</v>
      </c>
      <c r="O343" t="s">
        <v>243</v>
      </c>
      <c r="P343">
        <v>336</v>
      </c>
      <c r="Q343">
        <v>100</v>
      </c>
      <c r="R343" t="s">
        <v>36</v>
      </c>
      <c r="S343">
        <v>12</v>
      </c>
      <c r="T343">
        <v>12</v>
      </c>
      <c r="U343" t="s">
        <v>112</v>
      </c>
      <c r="V343" t="s">
        <v>37</v>
      </c>
      <c r="W343">
        <v>450</v>
      </c>
      <c r="X343">
        <v>532</v>
      </c>
      <c r="Y343">
        <v>8.3000000000000007</v>
      </c>
      <c r="Z343">
        <v>500</v>
      </c>
      <c r="AA343">
        <v>2000</v>
      </c>
      <c r="AB343">
        <v>50</v>
      </c>
      <c r="AC343" t="s">
        <v>40</v>
      </c>
    </row>
    <row r="344" spans="1:29" x14ac:dyDescent="0.25">
      <c r="A344" t="str">
        <f>"Raman_"&amp;E344&amp;"_"&amp;B344&amp;"_"&amp;AC344&amp;"_"&amp;TEXT(F344, "000")&amp;"_"&amp;TEXT(G344, "000")&amp;"_"&amp;H344&amp;".csv"</f>
        <v>Raman_EG_Pavlovagyrans_raw_002_007_A1.csv</v>
      </c>
      <c r="B344" t="s">
        <v>255</v>
      </c>
      <c r="C344" t="s">
        <v>30</v>
      </c>
      <c r="D344" t="s">
        <v>30</v>
      </c>
      <c r="E344" t="s">
        <v>31</v>
      </c>
      <c r="F344">
        <v>2</v>
      </c>
      <c r="G344">
        <v>7</v>
      </c>
      <c r="H344" t="s">
        <v>110</v>
      </c>
      <c r="I344" t="s">
        <v>256</v>
      </c>
      <c r="J344" t="s">
        <v>34</v>
      </c>
      <c r="L344" t="s">
        <v>30</v>
      </c>
      <c r="M344">
        <v>22</v>
      </c>
      <c r="N344" t="s">
        <v>35</v>
      </c>
      <c r="O344" t="s">
        <v>244</v>
      </c>
      <c r="P344">
        <v>336</v>
      </c>
      <c r="Q344">
        <v>50</v>
      </c>
      <c r="R344" t="s">
        <v>36</v>
      </c>
      <c r="S344">
        <v>12</v>
      </c>
      <c r="T344">
        <v>12</v>
      </c>
      <c r="U344" t="s">
        <v>112</v>
      </c>
      <c r="V344" t="s">
        <v>37</v>
      </c>
      <c r="W344">
        <v>450</v>
      </c>
      <c r="X344">
        <v>532</v>
      </c>
      <c r="Y344">
        <v>8.3000000000000007</v>
      </c>
      <c r="Z344">
        <v>500</v>
      </c>
      <c r="AA344">
        <v>2000</v>
      </c>
      <c r="AB344">
        <v>50</v>
      </c>
      <c r="AC344" t="s">
        <v>40</v>
      </c>
    </row>
    <row r="345" spans="1:29" x14ac:dyDescent="0.25">
      <c r="A345" t="str">
        <f>"Raman_"&amp;E345&amp;"_"&amp;B345&amp;"_"&amp;AC345&amp;"_"&amp;TEXT(F345, "000")&amp;"_"&amp;TEXT(G345, "000")&amp;"_"&amp;H345&amp;".csv"</f>
        <v>Raman_EG_Pavlovagyrans_raw_002_007_A2.csv</v>
      </c>
      <c r="B345" t="s">
        <v>255</v>
      </c>
      <c r="C345" t="s">
        <v>30</v>
      </c>
      <c r="D345" t="s">
        <v>30</v>
      </c>
      <c r="E345" t="s">
        <v>31</v>
      </c>
      <c r="F345">
        <v>2</v>
      </c>
      <c r="G345">
        <v>7</v>
      </c>
      <c r="H345" t="s">
        <v>114</v>
      </c>
      <c r="I345" t="s">
        <v>256</v>
      </c>
      <c r="J345" t="s">
        <v>34</v>
      </c>
      <c r="L345" t="s">
        <v>30</v>
      </c>
      <c r="M345">
        <v>22</v>
      </c>
      <c r="N345" t="s">
        <v>80</v>
      </c>
      <c r="O345" t="s">
        <v>244</v>
      </c>
      <c r="P345">
        <v>336</v>
      </c>
      <c r="Q345">
        <v>50</v>
      </c>
      <c r="R345" t="s">
        <v>36</v>
      </c>
      <c r="S345">
        <v>12</v>
      </c>
      <c r="T345">
        <v>12</v>
      </c>
      <c r="U345" t="s">
        <v>112</v>
      </c>
      <c r="V345" t="s">
        <v>37</v>
      </c>
      <c r="W345">
        <v>450</v>
      </c>
      <c r="X345">
        <v>532</v>
      </c>
      <c r="Y345">
        <v>8.3000000000000007</v>
      </c>
      <c r="Z345">
        <v>500</v>
      </c>
      <c r="AA345">
        <v>2000</v>
      </c>
      <c r="AB345">
        <v>50</v>
      </c>
      <c r="AC345" t="s">
        <v>40</v>
      </c>
    </row>
    <row r="346" spans="1:29" x14ac:dyDescent="0.25">
      <c r="A346" t="str">
        <f>"Raman_"&amp;E346&amp;"_"&amp;B346&amp;"_"&amp;AC346&amp;"_"&amp;TEXT(F346, "000")&amp;"_"&amp;TEXT(G346, "000")&amp;"_"&amp;H346&amp;".csv"</f>
        <v>Raman_EG_Pavlovagyrans_raw_002_007_A3.csv</v>
      </c>
      <c r="B346" t="s">
        <v>255</v>
      </c>
      <c r="C346" t="s">
        <v>30</v>
      </c>
      <c r="D346" t="s">
        <v>30</v>
      </c>
      <c r="E346" t="s">
        <v>31</v>
      </c>
      <c r="F346">
        <v>2</v>
      </c>
      <c r="G346">
        <v>7</v>
      </c>
      <c r="H346" t="s">
        <v>116</v>
      </c>
      <c r="I346" t="s">
        <v>256</v>
      </c>
      <c r="J346" t="s">
        <v>34</v>
      </c>
      <c r="L346" t="s">
        <v>30</v>
      </c>
      <c r="M346">
        <v>22</v>
      </c>
      <c r="N346" t="s">
        <v>42</v>
      </c>
      <c r="O346" t="s">
        <v>244</v>
      </c>
      <c r="P346">
        <v>336</v>
      </c>
      <c r="Q346">
        <v>50</v>
      </c>
      <c r="R346" t="s">
        <v>36</v>
      </c>
      <c r="S346">
        <v>12</v>
      </c>
      <c r="T346">
        <v>12</v>
      </c>
      <c r="U346" t="s">
        <v>112</v>
      </c>
      <c r="V346" t="s">
        <v>37</v>
      </c>
      <c r="W346">
        <v>450</v>
      </c>
      <c r="X346">
        <v>532</v>
      </c>
      <c r="Y346">
        <v>8.3000000000000007</v>
      </c>
      <c r="Z346">
        <v>500</v>
      </c>
      <c r="AA346">
        <v>2000</v>
      </c>
      <c r="AB346">
        <v>50</v>
      </c>
      <c r="AC346" t="s">
        <v>40</v>
      </c>
    </row>
    <row r="347" spans="1:29" x14ac:dyDescent="0.25">
      <c r="A347" t="str">
        <f>"Raman_"&amp;E347&amp;"_"&amp;B347&amp;"_"&amp;AC347&amp;"_"&amp;TEXT(F347, "000")&amp;"_"&amp;TEXT(G347, "000")&amp;"_"&amp;H347&amp;".csv"</f>
        <v>Raman_EG_Pavlovagyrans_raw_002_007_A4.csv</v>
      </c>
      <c r="B347" t="s">
        <v>255</v>
      </c>
      <c r="C347" t="s">
        <v>30</v>
      </c>
      <c r="D347" t="s">
        <v>30</v>
      </c>
      <c r="E347" t="s">
        <v>31</v>
      </c>
      <c r="F347">
        <v>2</v>
      </c>
      <c r="G347">
        <v>7</v>
      </c>
      <c r="H347" t="s">
        <v>118</v>
      </c>
      <c r="I347" t="s">
        <v>256</v>
      </c>
      <c r="J347" t="s">
        <v>34</v>
      </c>
      <c r="L347" t="s">
        <v>30</v>
      </c>
      <c r="M347">
        <v>22</v>
      </c>
      <c r="N347" t="s">
        <v>82</v>
      </c>
      <c r="O347" t="s">
        <v>244</v>
      </c>
      <c r="P347">
        <v>336</v>
      </c>
      <c r="Q347">
        <v>50</v>
      </c>
      <c r="R347" t="s">
        <v>36</v>
      </c>
      <c r="S347">
        <v>12</v>
      </c>
      <c r="T347">
        <v>12</v>
      </c>
      <c r="U347" t="s">
        <v>112</v>
      </c>
      <c r="V347" t="s">
        <v>37</v>
      </c>
      <c r="W347">
        <v>450</v>
      </c>
      <c r="X347">
        <v>532</v>
      </c>
      <c r="Y347">
        <v>8.3000000000000007</v>
      </c>
      <c r="Z347">
        <v>500</v>
      </c>
      <c r="AA347">
        <v>2000</v>
      </c>
      <c r="AB347">
        <v>50</v>
      </c>
      <c r="AC347" t="s">
        <v>40</v>
      </c>
    </row>
    <row r="348" spans="1:29" x14ac:dyDescent="0.25">
      <c r="A348" t="str">
        <f>"Raman_"&amp;E348&amp;"_"&amp;B348&amp;"_"&amp;AC348&amp;"_"&amp;TEXT(F348, "000")&amp;"_"&amp;TEXT(G348, "000")&amp;"_"&amp;H348&amp;".csv"</f>
        <v>Raman_EG_Pavlovagyrans_raw_002_007_A5.csv</v>
      </c>
      <c r="B348" t="s">
        <v>255</v>
      </c>
      <c r="C348" t="s">
        <v>30</v>
      </c>
      <c r="D348" t="s">
        <v>30</v>
      </c>
      <c r="E348" t="s">
        <v>31</v>
      </c>
      <c r="F348">
        <v>2</v>
      </c>
      <c r="G348">
        <v>7</v>
      </c>
      <c r="H348" t="s">
        <v>120</v>
      </c>
      <c r="I348" t="s">
        <v>256</v>
      </c>
      <c r="J348" t="s">
        <v>34</v>
      </c>
      <c r="L348" t="s">
        <v>30</v>
      </c>
      <c r="M348">
        <v>22</v>
      </c>
      <c r="N348" t="s">
        <v>44</v>
      </c>
      <c r="O348" t="s">
        <v>244</v>
      </c>
      <c r="P348">
        <v>336</v>
      </c>
      <c r="Q348">
        <v>50</v>
      </c>
      <c r="R348" t="s">
        <v>36</v>
      </c>
      <c r="S348">
        <v>12</v>
      </c>
      <c r="T348">
        <v>12</v>
      </c>
      <c r="U348" t="s">
        <v>112</v>
      </c>
      <c r="V348" t="s">
        <v>37</v>
      </c>
      <c r="W348">
        <v>450</v>
      </c>
      <c r="X348">
        <v>532</v>
      </c>
      <c r="Y348">
        <v>8.3000000000000007</v>
      </c>
      <c r="Z348">
        <v>500</v>
      </c>
      <c r="AA348">
        <v>2000</v>
      </c>
      <c r="AB348">
        <v>50</v>
      </c>
      <c r="AC348" t="s">
        <v>40</v>
      </c>
    </row>
    <row r="349" spans="1:29" x14ac:dyDescent="0.25">
      <c r="A349" t="str">
        <f>"Raman_"&amp;E349&amp;"_"&amp;B349&amp;"_"&amp;AC349&amp;"_"&amp;TEXT(F349, "000")&amp;"_"&amp;TEXT(G349, "000")&amp;"_"&amp;H349&amp;".csv"</f>
        <v>Raman_EG_Pavlovagyrans_raw_002_007_A6.csv</v>
      </c>
      <c r="B349" t="s">
        <v>255</v>
      </c>
      <c r="C349" t="s">
        <v>30</v>
      </c>
      <c r="D349" t="s">
        <v>30</v>
      </c>
      <c r="E349" t="s">
        <v>31</v>
      </c>
      <c r="F349">
        <v>2</v>
      </c>
      <c r="G349">
        <v>7</v>
      </c>
      <c r="H349" t="s">
        <v>122</v>
      </c>
      <c r="I349" t="s">
        <v>256</v>
      </c>
      <c r="J349" t="s">
        <v>34</v>
      </c>
      <c r="L349" t="s">
        <v>30</v>
      </c>
      <c r="M349">
        <v>22</v>
      </c>
      <c r="N349" t="s">
        <v>84</v>
      </c>
      <c r="O349" t="s">
        <v>244</v>
      </c>
      <c r="P349">
        <v>336</v>
      </c>
      <c r="Q349">
        <v>50</v>
      </c>
      <c r="R349" t="s">
        <v>36</v>
      </c>
      <c r="S349">
        <v>12</v>
      </c>
      <c r="T349">
        <v>12</v>
      </c>
      <c r="U349" t="s">
        <v>112</v>
      </c>
      <c r="V349" t="s">
        <v>37</v>
      </c>
      <c r="W349">
        <v>450</v>
      </c>
      <c r="X349">
        <v>532</v>
      </c>
      <c r="Y349">
        <v>8.3000000000000007</v>
      </c>
      <c r="Z349">
        <v>500</v>
      </c>
      <c r="AA349">
        <v>2000</v>
      </c>
      <c r="AB349">
        <v>50</v>
      </c>
      <c r="AC349" t="s">
        <v>40</v>
      </c>
    </row>
    <row r="350" spans="1:29" x14ac:dyDescent="0.25">
      <c r="A350" t="str">
        <f>"Raman_"&amp;E350&amp;"_"&amp;B350&amp;"_"&amp;AC350&amp;"_"&amp;TEXT(F350, "000")&amp;"_"&amp;TEXT(G350, "000")&amp;"_"&amp;H350&amp;".csv"</f>
        <v>Raman_EG_Pavlovagyrans_raw_002_007_A7.csv</v>
      </c>
      <c r="B350" t="s">
        <v>255</v>
      </c>
      <c r="C350" t="s">
        <v>30</v>
      </c>
      <c r="D350" t="s">
        <v>30</v>
      </c>
      <c r="E350" t="s">
        <v>31</v>
      </c>
      <c r="F350">
        <v>2</v>
      </c>
      <c r="G350">
        <v>7</v>
      </c>
      <c r="H350" t="s">
        <v>124</v>
      </c>
      <c r="I350" t="s">
        <v>256</v>
      </c>
      <c r="J350" t="s">
        <v>34</v>
      </c>
      <c r="L350" t="s">
        <v>30</v>
      </c>
      <c r="M350">
        <v>22</v>
      </c>
      <c r="N350" t="s">
        <v>46</v>
      </c>
      <c r="O350" t="s">
        <v>244</v>
      </c>
      <c r="P350">
        <v>336</v>
      </c>
      <c r="Q350">
        <v>50</v>
      </c>
      <c r="R350" t="s">
        <v>36</v>
      </c>
      <c r="S350">
        <v>12</v>
      </c>
      <c r="T350">
        <v>12</v>
      </c>
      <c r="U350" t="s">
        <v>112</v>
      </c>
      <c r="V350" t="s">
        <v>37</v>
      </c>
      <c r="W350">
        <v>450</v>
      </c>
      <c r="X350">
        <v>532</v>
      </c>
      <c r="Y350">
        <v>8.3000000000000007</v>
      </c>
      <c r="Z350">
        <v>500</v>
      </c>
      <c r="AA350">
        <v>2000</v>
      </c>
      <c r="AB350">
        <v>50</v>
      </c>
      <c r="AC350" t="s">
        <v>40</v>
      </c>
    </row>
    <row r="351" spans="1:29" x14ac:dyDescent="0.25">
      <c r="A351" t="str">
        <f>"Raman_"&amp;E351&amp;"_"&amp;B351&amp;"_"&amp;AC351&amp;"_"&amp;TEXT(F351, "000")&amp;"_"&amp;TEXT(G351, "000")&amp;"_"&amp;H351&amp;".csv"</f>
        <v>Raman_EG_Pavlovagyrans_raw_002_007_A8.csv</v>
      </c>
      <c r="B351" t="s">
        <v>255</v>
      </c>
      <c r="C351" t="s">
        <v>30</v>
      </c>
      <c r="D351" t="s">
        <v>30</v>
      </c>
      <c r="E351" t="s">
        <v>31</v>
      </c>
      <c r="F351">
        <v>2</v>
      </c>
      <c r="G351">
        <v>7</v>
      </c>
      <c r="H351" t="s">
        <v>126</v>
      </c>
      <c r="I351" t="s">
        <v>256</v>
      </c>
      <c r="J351" t="s">
        <v>34</v>
      </c>
      <c r="L351" t="s">
        <v>30</v>
      </c>
      <c r="M351">
        <v>22</v>
      </c>
      <c r="N351" t="s">
        <v>86</v>
      </c>
      <c r="O351" t="s">
        <v>244</v>
      </c>
      <c r="P351">
        <v>336</v>
      </c>
      <c r="Q351">
        <v>50</v>
      </c>
      <c r="R351" t="s">
        <v>36</v>
      </c>
      <c r="S351">
        <v>12</v>
      </c>
      <c r="T351">
        <v>12</v>
      </c>
      <c r="U351" t="s">
        <v>112</v>
      </c>
      <c r="V351" t="s">
        <v>37</v>
      </c>
      <c r="W351">
        <v>450</v>
      </c>
      <c r="X351">
        <v>532</v>
      </c>
      <c r="Y351">
        <v>8.3000000000000007</v>
      </c>
      <c r="Z351">
        <v>500</v>
      </c>
      <c r="AA351">
        <v>2000</v>
      </c>
      <c r="AB351">
        <v>50</v>
      </c>
      <c r="AC351" t="s">
        <v>40</v>
      </c>
    </row>
    <row r="352" spans="1:29" x14ac:dyDescent="0.25">
      <c r="A352" t="str">
        <f>"Raman_"&amp;E352&amp;"_"&amp;B352&amp;"_"&amp;AC352&amp;"_"&amp;TEXT(F352, "000")&amp;"_"&amp;TEXT(G352, "000")&amp;"_"&amp;H352&amp;".csv"</f>
        <v>Raman_EG_Pavlovagyrans_raw_002_007_B1.csv</v>
      </c>
      <c r="B352" t="s">
        <v>255</v>
      </c>
      <c r="C352" t="s">
        <v>30</v>
      </c>
      <c r="D352" t="s">
        <v>30</v>
      </c>
      <c r="E352" t="s">
        <v>31</v>
      </c>
      <c r="F352">
        <v>2</v>
      </c>
      <c r="G352">
        <v>7</v>
      </c>
      <c r="H352" t="s">
        <v>128</v>
      </c>
      <c r="I352" t="s">
        <v>256</v>
      </c>
      <c r="J352" t="s">
        <v>34</v>
      </c>
      <c r="L352" t="s">
        <v>30</v>
      </c>
      <c r="M352">
        <v>22</v>
      </c>
      <c r="N352" t="s">
        <v>35</v>
      </c>
      <c r="O352" t="s">
        <v>244</v>
      </c>
      <c r="P352">
        <v>336</v>
      </c>
      <c r="Q352">
        <v>50</v>
      </c>
      <c r="R352" t="s">
        <v>36</v>
      </c>
      <c r="S352">
        <v>12</v>
      </c>
      <c r="T352">
        <v>12</v>
      </c>
      <c r="U352" t="s">
        <v>112</v>
      </c>
      <c r="V352" t="s">
        <v>37</v>
      </c>
      <c r="W352">
        <v>450</v>
      </c>
      <c r="X352">
        <v>532</v>
      </c>
      <c r="Y352">
        <v>8.3000000000000007</v>
      </c>
      <c r="Z352">
        <v>500</v>
      </c>
      <c r="AA352">
        <v>2000</v>
      </c>
      <c r="AB352">
        <v>50</v>
      </c>
      <c r="AC352" t="s">
        <v>40</v>
      </c>
    </row>
    <row r="353" spans="1:29" x14ac:dyDescent="0.25">
      <c r="A353" t="str">
        <f>"Raman_"&amp;E353&amp;"_"&amp;B353&amp;"_"&amp;AC353&amp;"_"&amp;TEXT(F353, "000")&amp;"_"&amp;TEXT(G353, "000")&amp;"_"&amp;H353&amp;".csv"</f>
        <v>Raman_EG_Pavlovagyrans_raw_002_007_B2.csv</v>
      </c>
      <c r="B353" t="s">
        <v>255</v>
      </c>
      <c r="C353" t="s">
        <v>30</v>
      </c>
      <c r="D353" t="s">
        <v>30</v>
      </c>
      <c r="E353" t="s">
        <v>31</v>
      </c>
      <c r="F353">
        <v>2</v>
      </c>
      <c r="G353">
        <v>7</v>
      </c>
      <c r="H353" t="s">
        <v>32</v>
      </c>
      <c r="I353" t="s">
        <v>256</v>
      </c>
      <c r="J353" t="s">
        <v>34</v>
      </c>
      <c r="L353" t="s">
        <v>30</v>
      </c>
      <c r="M353">
        <v>22</v>
      </c>
      <c r="N353" t="s">
        <v>80</v>
      </c>
      <c r="O353" t="s">
        <v>244</v>
      </c>
      <c r="P353">
        <v>336</v>
      </c>
      <c r="Q353">
        <v>50</v>
      </c>
      <c r="R353" t="s">
        <v>36</v>
      </c>
      <c r="S353">
        <v>12</v>
      </c>
      <c r="T353">
        <v>12</v>
      </c>
      <c r="U353" t="s">
        <v>112</v>
      </c>
      <c r="V353" t="s">
        <v>37</v>
      </c>
      <c r="W353">
        <v>450</v>
      </c>
      <c r="X353">
        <v>532</v>
      </c>
      <c r="Y353">
        <v>8.3000000000000007</v>
      </c>
      <c r="Z353">
        <v>500</v>
      </c>
      <c r="AA353">
        <v>2000</v>
      </c>
      <c r="AB353">
        <v>50</v>
      </c>
      <c r="AC353" t="s">
        <v>40</v>
      </c>
    </row>
    <row r="354" spans="1:29" x14ac:dyDescent="0.25">
      <c r="A354" t="str">
        <f>"Raman_"&amp;E354&amp;"_"&amp;B354&amp;"_"&amp;AC354&amp;"_"&amp;TEXT(F354, "000")&amp;"_"&amp;TEXT(G354, "000")&amp;"_"&amp;H354&amp;".csv"</f>
        <v>Raman_EG_Pavlovagyrans_raw_002_007_B3.csv</v>
      </c>
      <c r="B354" t="s">
        <v>255</v>
      </c>
      <c r="C354" t="s">
        <v>30</v>
      </c>
      <c r="D354" t="s">
        <v>30</v>
      </c>
      <c r="E354" t="s">
        <v>31</v>
      </c>
      <c r="F354">
        <v>2</v>
      </c>
      <c r="G354">
        <v>7</v>
      </c>
      <c r="H354" t="s">
        <v>41</v>
      </c>
      <c r="I354" t="s">
        <v>256</v>
      </c>
      <c r="J354" t="s">
        <v>34</v>
      </c>
      <c r="L354" t="s">
        <v>30</v>
      </c>
      <c r="M354">
        <v>22</v>
      </c>
      <c r="N354" t="s">
        <v>42</v>
      </c>
      <c r="O354" t="s">
        <v>244</v>
      </c>
      <c r="P354">
        <v>336</v>
      </c>
      <c r="Q354">
        <v>50</v>
      </c>
      <c r="R354" t="s">
        <v>36</v>
      </c>
      <c r="S354">
        <v>12</v>
      </c>
      <c r="T354">
        <v>12</v>
      </c>
      <c r="U354" t="s">
        <v>112</v>
      </c>
      <c r="V354" t="s">
        <v>37</v>
      </c>
      <c r="W354">
        <v>450</v>
      </c>
      <c r="X354">
        <v>532</v>
      </c>
      <c r="Y354">
        <v>8.3000000000000007</v>
      </c>
      <c r="Z354">
        <v>500</v>
      </c>
      <c r="AA354">
        <v>2000</v>
      </c>
      <c r="AB354">
        <v>50</v>
      </c>
      <c r="AC354" t="s">
        <v>40</v>
      </c>
    </row>
    <row r="355" spans="1:29" x14ac:dyDescent="0.25">
      <c r="A355" t="str">
        <f>"Raman_"&amp;E355&amp;"_"&amp;B355&amp;"_"&amp;AC355&amp;"_"&amp;TEXT(F355, "000")&amp;"_"&amp;TEXT(G355, "000")&amp;"_"&amp;H355&amp;".csv"</f>
        <v>Raman_EG_Pavlovagyrans_raw_002_007_B4.csv</v>
      </c>
      <c r="B355" t="s">
        <v>255</v>
      </c>
      <c r="C355" t="s">
        <v>30</v>
      </c>
      <c r="D355" t="s">
        <v>30</v>
      </c>
      <c r="E355" t="s">
        <v>31</v>
      </c>
      <c r="F355">
        <v>2</v>
      </c>
      <c r="G355">
        <v>7</v>
      </c>
      <c r="H355" t="s">
        <v>43</v>
      </c>
      <c r="I355" t="s">
        <v>256</v>
      </c>
      <c r="J355" t="s">
        <v>34</v>
      </c>
      <c r="L355" t="s">
        <v>30</v>
      </c>
      <c r="M355">
        <v>22</v>
      </c>
      <c r="N355" t="s">
        <v>82</v>
      </c>
      <c r="O355" t="s">
        <v>244</v>
      </c>
      <c r="P355">
        <v>336</v>
      </c>
      <c r="Q355">
        <v>50</v>
      </c>
      <c r="R355" t="s">
        <v>36</v>
      </c>
      <c r="S355">
        <v>12</v>
      </c>
      <c r="T355">
        <v>12</v>
      </c>
      <c r="U355" t="s">
        <v>112</v>
      </c>
      <c r="V355" t="s">
        <v>37</v>
      </c>
      <c r="W355">
        <v>450</v>
      </c>
      <c r="X355">
        <v>532</v>
      </c>
      <c r="Y355">
        <v>8.3000000000000007</v>
      </c>
      <c r="Z355">
        <v>500</v>
      </c>
      <c r="AA355">
        <v>2000</v>
      </c>
      <c r="AB355">
        <v>50</v>
      </c>
      <c r="AC355" t="s">
        <v>40</v>
      </c>
    </row>
    <row r="356" spans="1:29" x14ac:dyDescent="0.25">
      <c r="A356" t="str">
        <f>"Raman_"&amp;E356&amp;"_"&amp;B356&amp;"_"&amp;AC356&amp;"_"&amp;TEXT(F356, "000")&amp;"_"&amp;TEXT(G356, "000")&amp;"_"&amp;H356&amp;".csv"</f>
        <v>Raman_EG_Pavlovagyrans_raw_002_007_B5.csv</v>
      </c>
      <c r="B356" t="s">
        <v>255</v>
      </c>
      <c r="C356" t="s">
        <v>30</v>
      </c>
      <c r="D356" t="s">
        <v>30</v>
      </c>
      <c r="E356" t="s">
        <v>31</v>
      </c>
      <c r="F356">
        <v>2</v>
      </c>
      <c r="G356">
        <v>7</v>
      </c>
      <c r="H356" t="s">
        <v>45</v>
      </c>
      <c r="I356" t="s">
        <v>256</v>
      </c>
      <c r="J356" t="s">
        <v>34</v>
      </c>
      <c r="L356" t="s">
        <v>30</v>
      </c>
      <c r="M356">
        <v>22</v>
      </c>
      <c r="N356" t="s">
        <v>44</v>
      </c>
      <c r="O356" t="s">
        <v>244</v>
      </c>
      <c r="P356">
        <v>336</v>
      </c>
      <c r="Q356">
        <v>50</v>
      </c>
      <c r="R356" t="s">
        <v>36</v>
      </c>
      <c r="S356">
        <v>12</v>
      </c>
      <c r="T356">
        <v>12</v>
      </c>
      <c r="U356" t="s">
        <v>112</v>
      </c>
      <c r="V356" t="s">
        <v>37</v>
      </c>
      <c r="W356">
        <v>450</v>
      </c>
      <c r="X356">
        <v>532</v>
      </c>
      <c r="Y356">
        <v>8.3000000000000007</v>
      </c>
      <c r="Z356">
        <v>500</v>
      </c>
      <c r="AA356">
        <v>2000</v>
      </c>
      <c r="AB356">
        <v>50</v>
      </c>
      <c r="AC356" t="s">
        <v>40</v>
      </c>
    </row>
    <row r="357" spans="1:29" x14ac:dyDescent="0.25">
      <c r="A357" t="str">
        <f>"Raman_"&amp;E357&amp;"_"&amp;B357&amp;"_"&amp;AC357&amp;"_"&amp;TEXT(F357, "000")&amp;"_"&amp;TEXT(G357, "000")&amp;"_"&amp;H357&amp;".csv"</f>
        <v>Raman_EG_Pavlovagyrans_raw_002_007_B6.csv</v>
      </c>
      <c r="B357" t="s">
        <v>255</v>
      </c>
      <c r="C357" t="s">
        <v>30</v>
      </c>
      <c r="D357" t="s">
        <v>30</v>
      </c>
      <c r="E357" t="s">
        <v>31</v>
      </c>
      <c r="F357">
        <v>2</v>
      </c>
      <c r="G357">
        <v>7</v>
      </c>
      <c r="H357" t="s">
        <v>47</v>
      </c>
      <c r="I357" t="s">
        <v>256</v>
      </c>
      <c r="J357" t="s">
        <v>34</v>
      </c>
      <c r="L357" t="s">
        <v>30</v>
      </c>
      <c r="M357">
        <v>22</v>
      </c>
      <c r="N357" t="s">
        <v>84</v>
      </c>
      <c r="O357" t="s">
        <v>244</v>
      </c>
      <c r="P357">
        <v>336</v>
      </c>
      <c r="Q357">
        <v>50</v>
      </c>
      <c r="R357" t="s">
        <v>36</v>
      </c>
      <c r="S357">
        <v>12</v>
      </c>
      <c r="T357">
        <v>12</v>
      </c>
      <c r="U357" t="s">
        <v>112</v>
      </c>
      <c r="V357" t="s">
        <v>37</v>
      </c>
      <c r="W357">
        <v>450</v>
      </c>
      <c r="X357">
        <v>532</v>
      </c>
      <c r="Y357">
        <v>8.3000000000000007</v>
      </c>
      <c r="Z357">
        <v>500</v>
      </c>
      <c r="AA357">
        <v>2000</v>
      </c>
      <c r="AB357">
        <v>50</v>
      </c>
      <c r="AC357" t="s">
        <v>40</v>
      </c>
    </row>
    <row r="358" spans="1:29" x14ac:dyDescent="0.25">
      <c r="A358" t="str">
        <f>"Raman_"&amp;E358&amp;"_"&amp;B358&amp;"_"&amp;AC358&amp;"_"&amp;TEXT(F358, "000")&amp;"_"&amp;TEXT(G358, "000")&amp;"_"&amp;H358&amp;".csv"</f>
        <v>Raman_EG_Pavlovagyrans_raw_002_007_B7.csv</v>
      </c>
      <c r="B358" t="s">
        <v>255</v>
      </c>
      <c r="C358" t="s">
        <v>30</v>
      </c>
      <c r="D358" t="s">
        <v>30</v>
      </c>
      <c r="E358" t="s">
        <v>31</v>
      </c>
      <c r="F358">
        <v>2</v>
      </c>
      <c r="G358">
        <v>7</v>
      </c>
      <c r="H358" t="s">
        <v>49</v>
      </c>
      <c r="I358" t="s">
        <v>256</v>
      </c>
      <c r="J358" t="s">
        <v>34</v>
      </c>
      <c r="L358" t="s">
        <v>30</v>
      </c>
      <c r="M358">
        <v>22</v>
      </c>
      <c r="N358" t="s">
        <v>46</v>
      </c>
      <c r="O358" t="s">
        <v>244</v>
      </c>
      <c r="P358">
        <v>336</v>
      </c>
      <c r="Q358">
        <v>50</v>
      </c>
      <c r="R358" t="s">
        <v>36</v>
      </c>
      <c r="S358">
        <v>12</v>
      </c>
      <c r="T358">
        <v>12</v>
      </c>
      <c r="U358" t="s">
        <v>112</v>
      </c>
      <c r="V358" t="s">
        <v>37</v>
      </c>
      <c r="W358">
        <v>450</v>
      </c>
      <c r="X358">
        <v>532</v>
      </c>
      <c r="Y358">
        <v>8.3000000000000007</v>
      </c>
      <c r="Z358">
        <v>500</v>
      </c>
      <c r="AA358">
        <v>2000</v>
      </c>
      <c r="AB358">
        <v>50</v>
      </c>
      <c r="AC358" t="s">
        <v>40</v>
      </c>
    </row>
    <row r="359" spans="1:29" x14ac:dyDescent="0.25">
      <c r="A359" t="str">
        <f>"Raman_"&amp;E359&amp;"_"&amp;B359&amp;"_"&amp;AC359&amp;"_"&amp;TEXT(F359, "000")&amp;"_"&amp;TEXT(G359, "000")&amp;"_"&amp;H359&amp;".csv"</f>
        <v>Raman_EG_Pavlovagyrans_raw_002_007_B8.csv</v>
      </c>
      <c r="B359" t="s">
        <v>255</v>
      </c>
      <c r="C359" t="s">
        <v>30</v>
      </c>
      <c r="D359" t="s">
        <v>30</v>
      </c>
      <c r="E359" t="s">
        <v>31</v>
      </c>
      <c r="F359">
        <v>2</v>
      </c>
      <c r="G359">
        <v>7</v>
      </c>
      <c r="H359" t="s">
        <v>51</v>
      </c>
      <c r="I359" t="s">
        <v>256</v>
      </c>
      <c r="J359" t="s">
        <v>34</v>
      </c>
      <c r="L359" t="s">
        <v>30</v>
      </c>
      <c r="M359">
        <v>22</v>
      </c>
      <c r="N359" t="s">
        <v>86</v>
      </c>
      <c r="O359" t="s">
        <v>244</v>
      </c>
      <c r="P359">
        <v>336</v>
      </c>
      <c r="Q359">
        <v>50</v>
      </c>
      <c r="R359" t="s">
        <v>36</v>
      </c>
      <c r="S359">
        <v>12</v>
      </c>
      <c r="T359">
        <v>12</v>
      </c>
      <c r="U359" t="s">
        <v>112</v>
      </c>
      <c r="V359" t="s">
        <v>37</v>
      </c>
      <c r="W359">
        <v>450</v>
      </c>
      <c r="X359">
        <v>532</v>
      </c>
      <c r="Y359">
        <v>8.3000000000000007</v>
      </c>
      <c r="Z359">
        <v>500</v>
      </c>
      <c r="AA359">
        <v>2000</v>
      </c>
      <c r="AB359">
        <v>50</v>
      </c>
      <c r="AC359" t="s">
        <v>40</v>
      </c>
    </row>
    <row r="360" spans="1:29" x14ac:dyDescent="0.25">
      <c r="A360" t="str">
        <f>"Raman_"&amp;E360&amp;"_"&amp;B360&amp;"_"&amp;AC360&amp;"_"&amp;TEXT(F360, "000")&amp;"_"&amp;TEXT(G360, "000")&amp;"_"&amp;H360&amp;".csv"</f>
        <v>Raman_EG_Pavlovagyrans_raw_002_007_C1.csv</v>
      </c>
      <c r="B360" t="s">
        <v>255</v>
      </c>
      <c r="C360" t="s">
        <v>30</v>
      </c>
      <c r="D360" t="s">
        <v>30</v>
      </c>
      <c r="E360" t="s">
        <v>31</v>
      </c>
      <c r="F360">
        <v>2</v>
      </c>
      <c r="G360">
        <v>7</v>
      </c>
      <c r="H360" t="s">
        <v>137</v>
      </c>
      <c r="I360" t="s">
        <v>256</v>
      </c>
      <c r="J360" t="s">
        <v>34</v>
      </c>
      <c r="L360" t="s">
        <v>30</v>
      </c>
      <c r="M360">
        <v>22</v>
      </c>
      <c r="N360" t="s">
        <v>35</v>
      </c>
      <c r="O360" t="s">
        <v>244</v>
      </c>
      <c r="P360">
        <v>336</v>
      </c>
      <c r="Q360">
        <v>50</v>
      </c>
      <c r="R360" t="s">
        <v>36</v>
      </c>
      <c r="S360">
        <v>12</v>
      </c>
      <c r="T360">
        <v>12</v>
      </c>
      <c r="U360" t="s">
        <v>112</v>
      </c>
      <c r="V360" t="s">
        <v>37</v>
      </c>
      <c r="W360">
        <v>450</v>
      </c>
      <c r="X360">
        <v>532</v>
      </c>
      <c r="Y360">
        <v>8.3000000000000007</v>
      </c>
      <c r="Z360">
        <v>500</v>
      </c>
      <c r="AA360">
        <v>2000</v>
      </c>
      <c r="AB360">
        <v>50</v>
      </c>
      <c r="AC360" t="s">
        <v>40</v>
      </c>
    </row>
    <row r="361" spans="1:29" x14ac:dyDescent="0.25">
      <c r="A361" t="str">
        <f>"Raman_"&amp;E361&amp;"_"&amp;B361&amp;"_"&amp;AC361&amp;"_"&amp;TEXT(F361, "000")&amp;"_"&amp;TEXT(G361, "000")&amp;"_"&amp;H361&amp;".csv"</f>
        <v>Raman_EG_Pavlovagyrans_raw_002_007_C2.csv</v>
      </c>
      <c r="B361" t="s">
        <v>255</v>
      </c>
      <c r="C361" t="s">
        <v>30</v>
      </c>
      <c r="D361" t="s">
        <v>30</v>
      </c>
      <c r="E361" t="s">
        <v>31</v>
      </c>
      <c r="F361">
        <v>2</v>
      </c>
      <c r="G361">
        <v>7</v>
      </c>
      <c r="H361" t="s">
        <v>59</v>
      </c>
      <c r="I361" t="s">
        <v>256</v>
      </c>
      <c r="J361" t="s">
        <v>34</v>
      </c>
      <c r="L361" t="s">
        <v>30</v>
      </c>
      <c r="M361">
        <v>22</v>
      </c>
      <c r="N361" t="s">
        <v>80</v>
      </c>
      <c r="O361" t="s">
        <v>244</v>
      </c>
      <c r="P361">
        <v>336</v>
      </c>
      <c r="Q361">
        <v>50</v>
      </c>
      <c r="R361" t="s">
        <v>36</v>
      </c>
      <c r="S361">
        <v>12</v>
      </c>
      <c r="T361">
        <v>12</v>
      </c>
      <c r="U361" t="s">
        <v>112</v>
      </c>
      <c r="V361" t="s">
        <v>37</v>
      </c>
      <c r="W361">
        <v>450</v>
      </c>
      <c r="X361">
        <v>532</v>
      </c>
      <c r="Y361">
        <v>8.3000000000000007</v>
      </c>
      <c r="Z361">
        <v>500</v>
      </c>
      <c r="AA361">
        <v>2000</v>
      </c>
      <c r="AB361">
        <v>50</v>
      </c>
      <c r="AC361" t="s">
        <v>40</v>
      </c>
    </row>
    <row r="362" spans="1:29" x14ac:dyDescent="0.25">
      <c r="A362" t="str">
        <f>"Raman_"&amp;E362&amp;"_"&amp;B362&amp;"_"&amp;AC362&amp;"_"&amp;TEXT(F362, "000")&amp;"_"&amp;TEXT(G362, "000")&amp;"_"&amp;H362&amp;".csv"</f>
        <v>Raman_EG_Pavlovagyrans_raw_002_007_C3.csv</v>
      </c>
      <c r="B362" t="s">
        <v>255</v>
      </c>
      <c r="C362" t="s">
        <v>30</v>
      </c>
      <c r="D362" t="s">
        <v>30</v>
      </c>
      <c r="E362" t="s">
        <v>31</v>
      </c>
      <c r="F362">
        <v>2</v>
      </c>
      <c r="G362">
        <v>7</v>
      </c>
      <c r="H362" t="s">
        <v>60</v>
      </c>
      <c r="I362" t="s">
        <v>256</v>
      </c>
      <c r="J362" t="s">
        <v>34</v>
      </c>
      <c r="L362" t="s">
        <v>30</v>
      </c>
      <c r="M362">
        <v>22</v>
      </c>
      <c r="N362" t="s">
        <v>42</v>
      </c>
      <c r="O362" t="s">
        <v>244</v>
      </c>
      <c r="P362">
        <v>336</v>
      </c>
      <c r="Q362">
        <v>50</v>
      </c>
      <c r="R362" t="s">
        <v>36</v>
      </c>
      <c r="S362">
        <v>12</v>
      </c>
      <c r="T362">
        <v>12</v>
      </c>
      <c r="U362" t="s">
        <v>112</v>
      </c>
      <c r="V362" t="s">
        <v>37</v>
      </c>
      <c r="W362">
        <v>450</v>
      </c>
      <c r="X362">
        <v>532</v>
      </c>
      <c r="Y362">
        <v>8.3000000000000007</v>
      </c>
      <c r="Z362">
        <v>500</v>
      </c>
      <c r="AA362">
        <v>2000</v>
      </c>
      <c r="AB362">
        <v>50</v>
      </c>
      <c r="AC362" t="s">
        <v>40</v>
      </c>
    </row>
    <row r="363" spans="1:29" x14ac:dyDescent="0.25">
      <c r="A363" t="str">
        <f>"Raman_"&amp;E363&amp;"_"&amp;B363&amp;"_"&amp;AC363&amp;"_"&amp;TEXT(F363, "000")&amp;"_"&amp;TEXT(G363, "000")&amp;"_"&amp;H363&amp;".csv"</f>
        <v>Raman_EG_Pavlovagyrans_raw_002_007_C4.csv</v>
      </c>
      <c r="B363" t="s">
        <v>255</v>
      </c>
      <c r="C363" t="s">
        <v>30</v>
      </c>
      <c r="D363" t="s">
        <v>30</v>
      </c>
      <c r="E363" t="s">
        <v>31</v>
      </c>
      <c r="F363">
        <v>2</v>
      </c>
      <c r="G363">
        <v>7</v>
      </c>
      <c r="H363" t="s">
        <v>61</v>
      </c>
      <c r="I363" t="s">
        <v>256</v>
      </c>
      <c r="J363" t="s">
        <v>34</v>
      </c>
      <c r="L363" t="s">
        <v>30</v>
      </c>
      <c r="M363">
        <v>22</v>
      </c>
      <c r="N363" t="s">
        <v>82</v>
      </c>
      <c r="O363" t="s">
        <v>244</v>
      </c>
      <c r="P363">
        <v>336</v>
      </c>
      <c r="Q363">
        <v>50</v>
      </c>
      <c r="R363" t="s">
        <v>36</v>
      </c>
      <c r="S363">
        <v>12</v>
      </c>
      <c r="T363">
        <v>12</v>
      </c>
      <c r="U363" t="s">
        <v>112</v>
      </c>
      <c r="V363" t="s">
        <v>37</v>
      </c>
      <c r="W363">
        <v>450</v>
      </c>
      <c r="X363">
        <v>532</v>
      </c>
      <c r="Y363">
        <v>8.3000000000000007</v>
      </c>
      <c r="Z363">
        <v>500</v>
      </c>
      <c r="AA363">
        <v>2000</v>
      </c>
      <c r="AB363">
        <v>50</v>
      </c>
      <c r="AC363" t="s">
        <v>40</v>
      </c>
    </row>
    <row r="364" spans="1:29" x14ac:dyDescent="0.25">
      <c r="A364" t="str">
        <f>"Raman_"&amp;E364&amp;"_"&amp;B364&amp;"_"&amp;AC364&amp;"_"&amp;TEXT(F364, "000")&amp;"_"&amp;TEXT(G364, "000")&amp;"_"&amp;H364&amp;".csv"</f>
        <v>Raman_EG_Pavlovagyrans_raw_002_007_C5.csv</v>
      </c>
      <c r="B364" t="s">
        <v>255</v>
      </c>
      <c r="C364" t="s">
        <v>30</v>
      </c>
      <c r="D364" t="s">
        <v>30</v>
      </c>
      <c r="E364" t="s">
        <v>31</v>
      </c>
      <c r="F364">
        <v>2</v>
      </c>
      <c r="G364">
        <v>7</v>
      </c>
      <c r="H364" t="s">
        <v>62</v>
      </c>
      <c r="I364" t="s">
        <v>256</v>
      </c>
      <c r="J364" t="s">
        <v>34</v>
      </c>
      <c r="L364" t="s">
        <v>30</v>
      </c>
      <c r="M364">
        <v>22</v>
      </c>
      <c r="N364" t="s">
        <v>44</v>
      </c>
      <c r="O364" t="s">
        <v>244</v>
      </c>
      <c r="P364">
        <v>336</v>
      </c>
      <c r="Q364">
        <v>50</v>
      </c>
      <c r="R364" t="s">
        <v>36</v>
      </c>
      <c r="S364">
        <v>12</v>
      </c>
      <c r="T364">
        <v>12</v>
      </c>
      <c r="U364" t="s">
        <v>112</v>
      </c>
      <c r="V364" t="s">
        <v>37</v>
      </c>
      <c r="W364">
        <v>450</v>
      </c>
      <c r="X364">
        <v>532</v>
      </c>
      <c r="Y364">
        <v>8.3000000000000007</v>
      </c>
      <c r="Z364">
        <v>500</v>
      </c>
      <c r="AA364">
        <v>2000</v>
      </c>
      <c r="AB364">
        <v>50</v>
      </c>
      <c r="AC364" t="s">
        <v>40</v>
      </c>
    </row>
    <row r="365" spans="1:29" x14ac:dyDescent="0.25">
      <c r="A365" t="str">
        <f>"Raman_"&amp;E365&amp;"_"&amp;B365&amp;"_"&amp;AC365&amp;"_"&amp;TEXT(F365, "000")&amp;"_"&amp;TEXT(G365, "000")&amp;"_"&amp;H365&amp;".csv"</f>
        <v>Raman_EG_Pavlovagyrans_raw_002_007_C6.csv</v>
      </c>
      <c r="B365" t="s">
        <v>255</v>
      </c>
      <c r="C365" t="s">
        <v>30</v>
      </c>
      <c r="D365" t="s">
        <v>30</v>
      </c>
      <c r="E365" t="s">
        <v>31</v>
      </c>
      <c r="F365">
        <v>2</v>
      </c>
      <c r="G365">
        <v>7</v>
      </c>
      <c r="H365" t="s">
        <v>63</v>
      </c>
      <c r="I365" t="s">
        <v>256</v>
      </c>
      <c r="J365" t="s">
        <v>34</v>
      </c>
      <c r="L365" t="s">
        <v>30</v>
      </c>
      <c r="M365">
        <v>22</v>
      </c>
      <c r="N365" t="s">
        <v>84</v>
      </c>
      <c r="O365" t="s">
        <v>244</v>
      </c>
      <c r="P365">
        <v>336</v>
      </c>
      <c r="Q365">
        <v>50</v>
      </c>
      <c r="R365" t="s">
        <v>36</v>
      </c>
      <c r="S365">
        <v>12</v>
      </c>
      <c r="T365">
        <v>12</v>
      </c>
      <c r="U365" t="s">
        <v>112</v>
      </c>
      <c r="V365" t="s">
        <v>37</v>
      </c>
      <c r="W365">
        <v>450</v>
      </c>
      <c r="X365">
        <v>532</v>
      </c>
      <c r="Y365">
        <v>8.3000000000000007</v>
      </c>
      <c r="Z365">
        <v>500</v>
      </c>
      <c r="AA365">
        <v>2000</v>
      </c>
      <c r="AB365">
        <v>50</v>
      </c>
      <c r="AC365" t="s">
        <v>40</v>
      </c>
    </row>
    <row r="366" spans="1:29" x14ac:dyDescent="0.25">
      <c r="A366" t="str">
        <f>"Raman_"&amp;E366&amp;"_"&amp;B366&amp;"_"&amp;AC366&amp;"_"&amp;TEXT(F366, "000")&amp;"_"&amp;TEXT(G366, "000")&amp;"_"&amp;H366&amp;".csv"</f>
        <v>Raman_EG_Pavlovagyrans_raw_002_007_C7.csv</v>
      </c>
      <c r="B366" t="s">
        <v>255</v>
      </c>
      <c r="C366" t="s">
        <v>30</v>
      </c>
      <c r="D366" t="s">
        <v>30</v>
      </c>
      <c r="E366" t="s">
        <v>31</v>
      </c>
      <c r="F366">
        <v>2</v>
      </c>
      <c r="G366">
        <v>7</v>
      </c>
      <c r="H366" t="s">
        <v>64</v>
      </c>
      <c r="I366" t="s">
        <v>256</v>
      </c>
      <c r="J366" t="s">
        <v>34</v>
      </c>
      <c r="L366" t="s">
        <v>30</v>
      </c>
      <c r="M366">
        <v>22</v>
      </c>
      <c r="N366" t="s">
        <v>46</v>
      </c>
      <c r="O366" t="s">
        <v>244</v>
      </c>
      <c r="P366">
        <v>336</v>
      </c>
      <c r="Q366">
        <v>50</v>
      </c>
      <c r="R366" t="s">
        <v>36</v>
      </c>
      <c r="S366">
        <v>12</v>
      </c>
      <c r="T366">
        <v>12</v>
      </c>
      <c r="U366" t="s">
        <v>112</v>
      </c>
      <c r="V366" t="s">
        <v>37</v>
      </c>
      <c r="W366">
        <v>450</v>
      </c>
      <c r="X366">
        <v>532</v>
      </c>
      <c r="Y366">
        <v>8.3000000000000007</v>
      </c>
      <c r="Z366">
        <v>500</v>
      </c>
      <c r="AA366">
        <v>2000</v>
      </c>
      <c r="AB366">
        <v>50</v>
      </c>
      <c r="AC366" t="s">
        <v>40</v>
      </c>
    </row>
    <row r="367" spans="1:29" x14ac:dyDescent="0.25">
      <c r="A367" t="str">
        <f>"Raman_"&amp;E367&amp;"_"&amp;B367&amp;"_"&amp;AC367&amp;"_"&amp;TEXT(F367, "000")&amp;"_"&amp;TEXT(G367, "000")&amp;"_"&amp;H367&amp;".csv"</f>
        <v>Raman_EG_Pavlovagyrans_raw_002_007_C8.csv</v>
      </c>
      <c r="B367" t="s">
        <v>255</v>
      </c>
      <c r="C367" t="s">
        <v>30</v>
      </c>
      <c r="D367" t="s">
        <v>30</v>
      </c>
      <c r="E367" t="s">
        <v>31</v>
      </c>
      <c r="F367">
        <v>2</v>
      </c>
      <c r="G367">
        <v>7</v>
      </c>
      <c r="H367" t="s">
        <v>65</v>
      </c>
      <c r="I367" t="s">
        <v>256</v>
      </c>
      <c r="J367" t="s">
        <v>34</v>
      </c>
      <c r="L367" t="s">
        <v>30</v>
      </c>
      <c r="M367">
        <v>22</v>
      </c>
      <c r="N367" t="s">
        <v>86</v>
      </c>
      <c r="O367" t="s">
        <v>244</v>
      </c>
      <c r="P367">
        <v>336</v>
      </c>
      <c r="Q367">
        <v>50</v>
      </c>
      <c r="R367" t="s">
        <v>36</v>
      </c>
      <c r="S367">
        <v>12</v>
      </c>
      <c r="T367">
        <v>12</v>
      </c>
      <c r="U367" t="s">
        <v>112</v>
      </c>
      <c r="V367" t="s">
        <v>37</v>
      </c>
      <c r="W367">
        <v>450</v>
      </c>
      <c r="X367">
        <v>532</v>
      </c>
      <c r="Y367">
        <v>8.3000000000000007</v>
      </c>
      <c r="Z367">
        <v>500</v>
      </c>
      <c r="AA367">
        <v>2000</v>
      </c>
      <c r="AB367">
        <v>50</v>
      </c>
      <c r="AC367" t="s">
        <v>40</v>
      </c>
    </row>
    <row r="368" spans="1:29" x14ac:dyDescent="0.25">
      <c r="A368" t="str">
        <f>"Raman_"&amp;E368&amp;"_"&amp;B368&amp;"_"&amp;AC368&amp;"_"&amp;TEXT(F368, "000")&amp;"_"&amp;TEXT(G368, "000")&amp;"_"&amp;H368&amp;".csv"</f>
        <v>Raman_EG_Pavlovagyrans_raw_002_007_D1.csv</v>
      </c>
      <c r="B368" t="s">
        <v>255</v>
      </c>
      <c r="C368" t="s">
        <v>30</v>
      </c>
      <c r="D368" t="s">
        <v>30</v>
      </c>
      <c r="E368" t="s">
        <v>31</v>
      </c>
      <c r="F368">
        <v>2</v>
      </c>
      <c r="G368">
        <v>7</v>
      </c>
      <c r="H368" t="s">
        <v>146</v>
      </c>
      <c r="I368" t="s">
        <v>256</v>
      </c>
      <c r="J368" t="s">
        <v>34</v>
      </c>
      <c r="L368" t="s">
        <v>30</v>
      </c>
      <c r="M368">
        <v>22</v>
      </c>
      <c r="N368" t="s">
        <v>35</v>
      </c>
      <c r="O368" t="s">
        <v>244</v>
      </c>
      <c r="P368">
        <v>336</v>
      </c>
      <c r="Q368">
        <v>50</v>
      </c>
      <c r="R368" t="s">
        <v>36</v>
      </c>
      <c r="S368">
        <v>12</v>
      </c>
      <c r="T368">
        <v>12</v>
      </c>
      <c r="U368" t="s">
        <v>112</v>
      </c>
      <c r="V368" t="s">
        <v>37</v>
      </c>
      <c r="W368">
        <v>450</v>
      </c>
      <c r="X368">
        <v>532</v>
      </c>
      <c r="Y368">
        <v>8.3000000000000007</v>
      </c>
      <c r="Z368">
        <v>500</v>
      </c>
      <c r="AA368">
        <v>2000</v>
      </c>
      <c r="AB368">
        <v>50</v>
      </c>
      <c r="AC368" t="s">
        <v>40</v>
      </c>
    </row>
    <row r="369" spans="1:29" x14ac:dyDescent="0.25">
      <c r="A369" t="str">
        <f>"Raman_"&amp;E369&amp;"_"&amp;B369&amp;"_"&amp;AC369&amp;"_"&amp;TEXT(F369, "000")&amp;"_"&amp;TEXT(G369, "000")&amp;"_"&amp;H369&amp;".csv"</f>
        <v>Raman_EG_Pavlovagyrans_raw_002_007_D2.csv</v>
      </c>
      <c r="B369" t="s">
        <v>255</v>
      </c>
      <c r="C369" t="s">
        <v>30</v>
      </c>
      <c r="D369" t="s">
        <v>30</v>
      </c>
      <c r="E369" t="s">
        <v>31</v>
      </c>
      <c r="F369">
        <v>2</v>
      </c>
      <c r="G369">
        <v>7</v>
      </c>
      <c r="H369" t="s">
        <v>69</v>
      </c>
      <c r="I369" t="s">
        <v>256</v>
      </c>
      <c r="J369" t="s">
        <v>34</v>
      </c>
      <c r="L369" t="s">
        <v>30</v>
      </c>
      <c r="M369">
        <v>22</v>
      </c>
      <c r="N369" t="s">
        <v>80</v>
      </c>
      <c r="O369" t="s">
        <v>244</v>
      </c>
      <c r="P369">
        <v>336</v>
      </c>
      <c r="Q369">
        <v>50</v>
      </c>
      <c r="R369" t="s">
        <v>36</v>
      </c>
      <c r="S369">
        <v>12</v>
      </c>
      <c r="T369">
        <v>12</v>
      </c>
      <c r="U369" t="s">
        <v>112</v>
      </c>
      <c r="V369" t="s">
        <v>37</v>
      </c>
      <c r="W369">
        <v>450</v>
      </c>
      <c r="X369">
        <v>532</v>
      </c>
      <c r="Y369">
        <v>8.3000000000000007</v>
      </c>
      <c r="Z369">
        <v>500</v>
      </c>
      <c r="AA369">
        <v>2000</v>
      </c>
      <c r="AB369">
        <v>50</v>
      </c>
      <c r="AC369" t="s">
        <v>40</v>
      </c>
    </row>
    <row r="370" spans="1:29" x14ac:dyDescent="0.25">
      <c r="A370" t="str">
        <f>"Raman_"&amp;E370&amp;"_"&amp;B370&amp;"_"&amp;AC370&amp;"_"&amp;TEXT(F370, "000")&amp;"_"&amp;TEXT(G370, "000")&amp;"_"&amp;H370&amp;".csv"</f>
        <v>Raman_EG_Pavlovagyrans_raw_002_007_D3.csv</v>
      </c>
      <c r="B370" t="s">
        <v>255</v>
      </c>
      <c r="C370" t="s">
        <v>30</v>
      </c>
      <c r="D370" t="s">
        <v>30</v>
      </c>
      <c r="E370" t="s">
        <v>31</v>
      </c>
      <c r="F370">
        <v>2</v>
      </c>
      <c r="G370">
        <v>7</v>
      </c>
      <c r="H370" t="s">
        <v>70</v>
      </c>
      <c r="I370" t="s">
        <v>256</v>
      </c>
      <c r="J370" t="s">
        <v>34</v>
      </c>
      <c r="L370" t="s">
        <v>30</v>
      </c>
      <c r="M370">
        <v>22</v>
      </c>
      <c r="N370" t="s">
        <v>42</v>
      </c>
      <c r="O370" t="s">
        <v>244</v>
      </c>
      <c r="P370">
        <v>336</v>
      </c>
      <c r="Q370">
        <v>50</v>
      </c>
      <c r="R370" t="s">
        <v>36</v>
      </c>
      <c r="S370">
        <v>12</v>
      </c>
      <c r="T370">
        <v>12</v>
      </c>
      <c r="U370" t="s">
        <v>112</v>
      </c>
      <c r="V370" t="s">
        <v>37</v>
      </c>
      <c r="W370">
        <v>450</v>
      </c>
      <c r="X370">
        <v>532</v>
      </c>
      <c r="Y370">
        <v>8.3000000000000007</v>
      </c>
      <c r="Z370">
        <v>500</v>
      </c>
      <c r="AA370">
        <v>2000</v>
      </c>
      <c r="AB370">
        <v>50</v>
      </c>
      <c r="AC370" t="s">
        <v>40</v>
      </c>
    </row>
    <row r="371" spans="1:29" x14ac:dyDescent="0.25">
      <c r="A371" t="str">
        <f>"Raman_"&amp;E371&amp;"_"&amp;B371&amp;"_"&amp;AC371&amp;"_"&amp;TEXT(F371, "000")&amp;"_"&amp;TEXT(G371, "000")&amp;"_"&amp;H371&amp;".csv"</f>
        <v>Raman_EG_Pavlovagyrans_raw_002_007_D4.csv</v>
      </c>
      <c r="B371" t="s">
        <v>255</v>
      </c>
      <c r="C371" t="s">
        <v>30</v>
      </c>
      <c r="D371" t="s">
        <v>30</v>
      </c>
      <c r="E371" t="s">
        <v>31</v>
      </c>
      <c r="F371">
        <v>2</v>
      </c>
      <c r="G371">
        <v>7</v>
      </c>
      <c r="H371" t="s">
        <v>71</v>
      </c>
      <c r="I371" t="s">
        <v>256</v>
      </c>
      <c r="J371" t="s">
        <v>34</v>
      </c>
      <c r="L371" t="s">
        <v>30</v>
      </c>
      <c r="M371">
        <v>22</v>
      </c>
      <c r="N371" t="s">
        <v>82</v>
      </c>
      <c r="O371" t="s">
        <v>244</v>
      </c>
      <c r="P371">
        <v>336</v>
      </c>
      <c r="Q371">
        <v>50</v>
      </c>
      <c r="R371" t="s">
        <v>36</v>
      </c>
      <c r="S371">
        <v>12</v>
      </c>
      <c r="T371">
        <v>12</v>
      </c>
      <c r="U371" t="s">
        <v>112</v>
      </c>
      <c r="V371" t="s">
        <v>37</v>
      </c>
      <c r="W371">
        <v>450</v>
      </c>
      <c r="X371">
        <v>532</v>
      </c>
      <c r="Y371">
        <v>8.3000000000000007</v>
      </c>
      <c r="Z371">
        <v>500</v>
      </c>
      <c r="AA371">
        <v>2000</v>
      </c>
      <c r="AB371">
        <v>50</v>
      </c>
      <c r="AC371" t="s">
        <v>40</v>
      </c>
    </row>
    <row r="372" spans="1:29" x14ac:dyDescent="0.25">
      <c r="A372" t="str">
        <f>"Raman_"&amp;E372&amp;"_"&amp;B372&amp;"_"&amp;AC372&amp;"_"&amp;TEXT(F372, "000")&amp;"_"&amp;TEXT(G372, "000")&amp;"_"&amp;H372&amp;".csv"</f>
        <v>Raman_EG_Pavlovagyrans_raw_002_007_D5.csv</v>
      </c>
      <c r="B372" t="s">
        <v>255</v>
      </c>
      <c r="C372" t="s">
        <v>30</v>
      </c>
      <c r="D372" t="s">
        <v>30</v>
      </c>
      <c r="E372" t="s">
        <v>31</v>
      </c>
      <c r="F372">
        <v>2</v>
      </c>
      <c r="G372">
        <v>7</v>
      </c>
      <c r="H372" t="s">
        <v>72</v>
      </c>
      <c r="I372" t="s">
        <v>256</v>
      </c>
      <c r="J372" t="s">
        <v>34</v>
      </c>
      <c r="L372" t="s">
        <v>30</v>
      </c>
      <c r="M372">
        <v>22</v>
      </c>
      <c r="N372" t="s">
        <v>44</v>
      </c>
      <c r="O372" t="s">
        <v>244</v>
      </c>
      <c r="P372">
        <v>336</v>
      </c>
      <c r="Q372">
        <v>50</v>
      </c>
      <c r="R372" t="s">
        <v>36</v>
      </c>
      <c r="S372">
        <v>12</v>
      </c>
      <c r="T372">
        <v>12</v>
      </c>
      <c r="U372" t="s">
        <v>112</v>
      </c>
      <c r="V372" t="s">
        <v>37</v>
      </c>
      <c r="W372">
        <v>450</v>
      </c>
      <c r="X372">
        <v>532</v>
      </c>
      <c r="Y372">
        <v>8.3000000000000007</v>
      </c>
      <c r="Z372">
        <v>500</v>
      </c>
      <c r="AA372">
        <v>2000</v>
      </c>
      <c r="AB372">
        <v>50</v>
      </c>
      <c r="AC372" t="s">
        <v>40</v>
      </c>
    </row>
    <row r="373" spans="1:29" x14ac:dyDescent="0.25">
      <c r="A373" t="str">
        <f>"Raman_"&amp;E373&amp;"_"&amp;B373&amp;"_"&amp;AC373&amp;"_"&amp;TEXT(F373, "000")&amp;"_"&amp;TEXT(G373, "000")&amp;"_"&amp;H373&amp;".csv"</f>
        <v>Raman_EG_Pavlovagyrans_raw_002_007_D6.csv</v>
      </c>
      <c r="B373" t="s">
        <v>255</v>
      </c>
      <c r="C373" t="s">
        <v>30</v>
      </c>
      <c r="D373" t="s">
        <v>30</v>
      </c>
      <c r="E373" t="s">
        <v>31</v>
      </c>
      <c r="F373">
        <v>2</v>
      </c>
      <c r="G373">
        <v>7</v>
      </c>
      <c r="H373" t="s">
        <v>73</v>
      </c>
      <c r="I373" t="s">
        <v>256</v>
      </c>
      <c r="J373" t="s">
        <v>34</v>
      </c>
      <c r="L373" t="s">
        <v>30</v>
      </c>
      <c r="M373">
        <v>22</v>
      </c>
      <c r="N373" t="s">
        <v>84</v>
      </c>
      <c r="O373" t="s">
        <v>244</v>
      </c>
      <c r="P373">
        <v>336</v>
      </c>
      <c r="Q373">
        <v>50</v>
      </c>
      <c r="R373" t="s">
        <v>36</v>
      </c>
      <c r="S373">
        <v>12</v>
      </c>
      <c r="T373">
        <v>12</v>
      </c>
      <c r="U373" t="s">
        <v>112</v>
      </c>
      <c r="V373" t="s">
        <v>37</v>
      </c>
      <c r="W373">
        <v>450</v>
      </c>
      <c r="X373">
        <v>532</v>
      </c>
      <c r="Y373">
        <v>8.3000000000000007</v>
      </c>
      <c r="Z373">
        <v>500</v>
      </c>
      <c r="AA373">
        <v>2000</v>
      </c>
      <c r="AB373">
        <v>50</v>
      </c>
      <c r="AC373" t="s">
        <v>40</v>
      </c>
    </row>
    <row r="374" spans="1:29" x14ac:dyDescent="0.25">
      <c r="A374" t="str">
        <f>"Raman_"&amp;E374&amp;"_"&amp;B374&amp;"_"&amp;AC374&amp;"_"&amp;TEXT(F374, "000")&amp;"_"&amp;TEXT(G374, "000")&amp;"_"&amp;H374&amp;".csv"</f>
        <v>Raman_EG_Pavlovagyrans_raw_002_007_D7.csv</v>
      </c>
      <c r="B374" t="s">
        <v>255</v>
      </c>
      <c r="C374" t="s">
        <v>30</v>
      </c>
      <c r="D374" t="s">
        <v>30</v>
      </c>
      <c r="E374" t="s">
        <v>31</v>
      </c>
      <c r="F374">
        <v>2</v>
      </c>
      <c r="G374">
        <v>7</v>
      </c>
      <c r="H374" t="s">
        <v>74</v>
      </c>
      <c r="I374" t="s">
        <v>256</v>
      </c>
      <c r="J374" t="s">
        <v>34</v>
      </c>
      <c r="L374" t="s">
        <v>30</v>
      </c>
      <c r="M374">
        <v>22</v>
      </c>
      <c r="N374" t="s">
        <v>46</v>
      </c>
      <c r="O374" t="s">
        <v>244</v>
      </c>
      <c r="P374">
        <v>336</v>
      </c>
      <c r="Q374">
        <v>50</v>
      </c>
      <c r="R374" t="s">
        <v>36</v>
      </c>
      <c r="S374">
        <v>12</v>
      </c>
      <c r="T374">
        <v>12</v>
      </c>
      <c r="U374" t="s">
        <v>112</v>
      </c>
      <c r="V374" t="s">
        <v>37</v>
      </c>
      <c r="W374">
        <v>450</v>
      </c>
      <c r="X374">
        <v>532</v>
      </c>
      <c r="Y374">
        <v>8.3000000000000007</v>
      </c>
      <c r="Z374">
        <v>500</v>
      </c>
      <c r="AA374">
        <v>2000</v>
      </c>
      <c r="AB374">
        <v>50</v>
      </c>
      <c r="AC374" t="s">
        <v>40</v>
      </c>
    </row>
    <row r="375" spans="1:29" x14ac:dyDescent="0.25">
      <c r="A375" t="str">
        <f>"Raman_"&amp;E375&amp;"_"&amp;B375&amp;"_"&amp;AC375&amp;"_"&amp;TEXT(F375, "000")&amp;"_"&amp;TEXT(G375, "000")&amp;"_"&amp;H375&amp;".csv"</f>
        <v>Raman_EG_Pavlovagyrans_raw_002_007_D8.csv</v>
      </c>
      <c r="B375" t="s">
        <v>255</v>
      </c>
      <c r="C375" t="s">
        <v>30</v>
      </c>
      <c r="D375" t="s">
        <v>30</v>
      </c>
      <c r="E375" t="s">
        <v>31</v>
      </c>
      <c r="F375">
        <v>2</v>
      </c>
      <c r="G375">
        <v>7</v>
      </c>
      <c r="H375" t="s">
        <v>75</v>
      </c>
      <c r="I375" t="s">
        <v>256</v>
      </c>
      <c r="J375" t="s">
        <v>34</v>
      </c>
      <c r="L375" t="s">
        <v>30</v>
      </c>
      <c r="M375">
        <v>22</v>
      </c>
      <c r="N375" t="s">
        <v>86</v>
      </c>
      <c r="O375" t="s">
        <v>244</v>
      </c>
      <c r="P375">
        <v>336</v>
      </c>
      <c r="Q375">
        <v>50</v>
      </c>
      <c r="R375" t="s">
        <v>36</v>
      </c>
      <c r="S375">
        <v>12</v>
      </c>
      <c r="T375">
        <v>12</v>
      </c>
      <c r="U375" t="s">
        <v>112</v>
      </c>
      <c r="V375" t="s">
        <v>37</v>
      </c>
      <c r="W375">
        <v>450</v>
      </c>
      <c r="X375">
        <v>532</v>
      </c>
      <c r="Y375">
        <v>8.3000000000000007</v>
      </c>
      <c r="Z375">
        <v>500</v>
      </c>
      <c r="AA375">
        <v>2000</v>
      </c>
      <c r="AB375">
        <v>50</v>
      </c>
      <c r="AC375" t="s">
        <v>40</v>
      </c>
    </row>
    <row r="376" spans="1:29" x14ac:dyDescent="0.25">
      <c r="A376" t="str">
        <f>"Raman_"&amp;E376&amp;"_"&amp;B376&amp;"_"&amp;AC376&amp;"_"&amp;TEXT(F376, "000")&amp;"_"&amp;TEXT(G376, "000")&amp;"_"&amp;H376&amp;".csv"</f>
        <v>Raman_EG_Pavlovagyrans_raw_002_007_E1.csv</v>
      </c>
      <c r="B376" t="s">
        <v>255</v>
      </c>
      <c r="C376" t="s">
        <v>30</v>
      </c>
      <c r="D376" t="s">
        <v>30</v>
      </c>
      <c r="E376" t="s">
        <v>31</v>
      </c>
      <c r="F376">
        <v>2</v>
      </c>
      <c r="G376">
        <v>7</v>
      </c>
      <c r="H376" t="s">
        <v>155</v>
      </c>
      <c r="I376" t="s">
        <v>256</v>
      </c>
      <c r="J376" t="s">
        <v>34</v>
      </c>
      <c r="L376" t="s">
        <v>30</v>
      </c>
      <c r="M376">
        <v>22</v>
      </c>
      <c r="N376" t="s">
        <v>35</v>
      </c>
      <c r="O376" t="s">
        <v>244</v>
      </c>
      <c r="P376">
        <v>336</v>
      </c>
      <c r="Q376">
        <v>50</v>
      </c>
      <c r="R376" t="s">
        <v>36</v>
      </c>
      <c r="S376">
        <v>12</v>
      </c>
      <c r="T376">
        <v>12</v>
      </c>
      <c r="U376" t="s">
        <v>112</v>
      </c>
      <c r="V376" t="s">
        <v>37</v>
      </c>
      <c r="W376">
        <v>450</v>
      </c>
      <c r="X376">
        <v>532</v>
      </c>
      <c r="Y376">
        <v>8.3000000000000007</v>
      </c>
      <c r="Z376">
        <v>500</v>
      </c>
      <c r="AA376">
        <v>2000</v>
      </c>
      <c r="AB376">
        <v>50</v>
      </c>
      <c r="AC376" t="s">
        <v>40</v>
      </c>
    </row>
    <row r="377" spans="1:29" x14ac:dyDescent="0.25">
      <c r="A377" t="str">
        <f>"Raman_"&amp;E377&amp;"_"&amp;B377&amp;"_"&amp;AC377&amp;"_"&amp;TEXT(F377, "000")&amp;"_"&amp;TEXT(G377, "000")&amp;"_"&amp;H377&amp;".csv"</f>
        <v>Raman_EG_Pavlovagyrans_raw_002_007_E2.csv</v>
      </c>
      <c r="B377" t="s">
        <v>255</v>
      </c>
      <c r="C377" t="s">
        <v>30</v>
      </c>
      <c r="D377" t="s">
        <v>30</v>
      </c>
      <c r="E377" t="s">
        <v>31</v>
      </c>
      <c r="F377">
        <v>2</v>
      </c>
      <c r="G377">
        <v>7</v>
      </c>
      <c r="H377" t="s">
        <v>79</v>
      </c>
      <c r="I377" t="s">
        <v>256</v>
      </c>
      <c r="J377" t="s">
        <v>34</v>
      </c>
      <c r="L377" t="s">
        <v>30</v>
      </c>
      <c r="M377">
        <v>22</v>
      </c>
      <c r="N377" t="s">
        <v>80</v>
      </c>
      <c r="O377" t="s">
        <v>244</v>
      </c>
      <c r="P377">
        <v>336</v>
      </c>
      <c r="Q377">
        <v>50</v>
      </c>
      <c r="R377" t="s">
        <v>36</v>
      </c>
      <c r="S377">
        <v>12</v>
      </c>
      <c r="T377">
        <v>12</v>
      </c>
      <c r="U377" t="s">
        <v>112</v>
      </c>
      <c r="V377" t="s">
        <v>37</v>
      </c>
      <c r="W377">
        <v>450</v>
      </c>
      <c r="X377">
        <v>532</v>
      </c>
      <c r="Y377">
        <v>8.3000000000000007</v>
      </c>
      <c r="Z377">
        <v>500</v>
      </c>
      <c r="AA377">
        <v>2000</v>
      </c>
      <c r="AB377">
        <v>50</v>
      </c>
      <c r="AC377" t="s">
        <v>40</v>
      </c>
    </row>
    <row r="378" spans="1:29" x14ac:dyDescent="0.25">
      <c r="A378" t="str">
        <f>"Raman_"&amp;E378&amp;"_"&amp;B378&amp;"_"&amp;AC378&amp;"_"&amp;TEXT(F378, "000")&amp;"_"&amp;TEXT(G378, "000")&amp;"_"&amp;H378&amp;".csv"</f>
        <v>Raman_EG_Pavlovagyrans_raw_002_007_E3.csv</v>
      </c>
      <c r="B378" t="s">
        <v>255</v>
      </c>
      <c r="C378" t="s">
        <v>30</v>
      </c>
      <c r="D378" t="s">
        <v>30</v>
      </c>
      <c r="E378" t="s">
        <v>31</v>
      </c>
      <c r="F378">
        <v>2</v>
      </c>
      <c r="G378">
        <v>7</v>
      </c>
      <c r="H378" t="s">
        <v>81</v>
      </c>
      <c r="I378" t="s">
        <v>256</v>
      </c>
      <c r="J378" t="s">
        <v>34</v>
      </c>
      <c r="L378" t="s">
        <v>30</v>
      </c>
      <c r="M378">
        <v>22</v>
      </c>
      <c r="N378" t="s">
        <v>42</v>
      </c>
      <c r="O378" t="s">
        <v>244</v>
      </c>
      <c r="P378">
        <v>336</v>
      </c>
      <c r="Q378">
        <v>50</v>
      </c>
      <c r="R378" t="s">
        <v>36</v>
      </c>
      <c r="S378">
        <v>12</v>
      </c>
      <c r="T378">
        <v>12</v>
      </c>
      <c r="U378" t="s">
        <v>112</v>
      </c>
      <c r="V378" t="s">
        <v>37</v>
      </c>
      <c r="W378">
        <v>450</v>
      </c>
      <c r="X378">
        <v>532</v>
      </c>
      <c r="Y378">
        <v>8.3000000000000007</v>
      </c>
      <c r="Z378">
        <v>500</v>
      </c>
      <c r="AA378">
        <v>2000</v>
      </c>
      <c r="AB378">
        <v>50</v>
      </c>
      <c r="AC378" t="s">
        <v>40</v>
      </c>
    </row>
    <row r="379" spans="1:29" x14ac:dyDescent="0.25">
      <c r="A379" t="str">
        <f>"Raman_"&amp;E379&amp;"_"&amp;B379&amp;"_"&amp;AC379&amp;"_"&amp;TEXT(F379, "000")&amp;"_"&amp;TEXT(G379, "000")&amp;"_"&amp;H379&amp;".csv"</f>
        <v>Raman_EG_Pavlovagyrans_raw_002_007_E4.csv</v>
      </c>
      <c r="B379" t="s">
        <v>255</v>
      </c>
      <c r="C379" t="s">
        <v>30</v>
      </c>
      <c r="D379" t="s">
        <v>30</v>
      </c>
      <c r="E379" t="s">
        <v>31</v>
      </c>
      <c r="F379">
        <v>2</v>
      </c>
      <c r="G379">
        <v>7</v>
      </c>
      <c r="H379" t="s">
        <v>83</v>
      </c>
      <c r="I379" t="s">
        <v>256</v>
      </c>
      <c r="J379" t="s">
        <v>34</v>
      </c>
      <c r="L379" t="s">
        <v>30</v>
      </c>
      <c r="M379">
        <v>22</v>
      </c>
      <c r="N379" t="s">
        <v>82</v>
      </c>
      <c r="O379" t="s">
        <v>244</v>
      </c>
      <c r="P379">
        <v>336</v>
      </c>
      <c r="Q379">
        <v>50</v>
      </c>
      <c r="R379" t="s">
        <v>36</v>
      </c>
      <c r="S379">
        <v>12</v>
      </c>
      <c r="T379">
        <v>12</v>
      </c>
      <c r="U379" t="s">
        <v>112</v>
      </c>
      <c r="V379" t="s">
        <v>37</v>
      </c>
      <c r="W379">
        <v>450</v>
      </c>
      <c r="X379">
        <v>532</v>
      </c>
      <c r="Y379">
        <v>8.3000000000000007</v>
      </c>
      <c r="Z379">
        <v>500</v>
      </c>
      <c r="AA379">
        <v>2000</v>
      </c>
      <c r="AB379">
        <v>50</v>
      </c>
      <c r="AC379" t="s">
        <v>40</v>
      </c>
    </row>
    <row r="380" spans="1:29" x14ac:dyDescent="0.25">
      <c r="A380" t="str">
        <f>"Raman_"&amp;E380&amp;"_"&amp;B380&amp;"_"&amp;AC380&amp;"_"&amp;TEXT(F380, "000")&amp;"_"&amp;TEXT(G380, "000")&amp;"_"&amp;H380&amp;".csv"</f>
        <v>Raman_EG_Pavlovagyrans_raw_002_007_E5.csv</v>
      </c>
      <c r="B380" t="s">
        <v>255</v>
      </c>
      <c r="C380" t="s">
        <v>30</v>
      </c>
      <c r="D380" t="s">
        <v>30</v>
      </c>
      <c r="E380" t="s">
        <v>31</v>
      </c>
      <c r="F380">
        <v>2</v>
      </c>
      <c r="G380">
        <v>7</v>
      </c>
      <c r="H380" t="s">
        <v>85</v>
      </c>
      <c r="I380" t="s">
        <v>256</v>
      </c>
      <c r="J380" t="s">
        <v>34</v>
      </c>
      <c r="L380" t="s">
        <v>30</v>
      </c>
      <c r="M380">
        <v>22</v>
      </c>
      <c r="N380" t="s">
        <v>44</v>
      </c>
      <c r="O380" t="s">
        <v>244</v>
      </c>
      <c r="P380">
        <v>336</v>
      </c>
      <c r="Q380">
        <v>50</v>
      </c>
      <c r="R380" t="s">
        <v>36</v>
      </c>
      <c r="S380">
        <v>12</v>
      </c>
      <c r="T380">
        <v>12</v>
      </c>
      <c r="U380" t="s">
        <v>112</v>
      </c>
      <c r="V380" t="s">
        <v>37</v>
      </c>
      <c r="W380">
        <v>450</v>
      </c>
      <c r="X380">
        <v>532</v>
      </c>
      <c r="Y380">
        <v>8.3000000000000007</v>
      </c>
      <c r="Z380">
        <v>500</v>
      </c>
      <c r="AA380">
        <v>2000</v>
      </c>
      <c r="AB380">
        <v>50</v>
      </c>
      <c r="AC380" t="s">
        <v>40</v>
      </c>
    </row>
    <row r="381" spans="1:29" x14ac:dyDescent="0.25">
      <c r="A381" t="str">
        <f>"Raman_"&amp;E381&amp;"_"&amp;B381&amp;"_"&amp;AC381&amp;"_"&amp;TEXT(F381, "000")&amp;"_"&amp;TEXT(G381, "000")&amp;"_"&amp;H381&amp;".csv"</f>
        <v>Raman_EG_Pavlovagyrans_raw_002_007_E6.csv</v>
      </c>
      <c r="B381" t="s">
        <v>255</v>
      </c>
      <c r="C381" t="s">
        <v>30</v>
      </c>
      <c r="D381" t="s">
        <v>30</v>
      </c>
      <c r="E381" t="s">
        <v>31</v>
      </c>
      <c r="F381">
        <v>2</v>
      </c>
      <c r="G381">
        <v>7</v>
      </c>
      <c r="H381" t="s">
        <v>87</v>
      </c>
      <c r="I381" t="s">
        <v>256</v>
      </c>
      <c r="J381" t="s">
        <v>34</v>
      </c>
      <c r="L381" t="s">
        <v>30</v>
      </c>
      <c r="M381">
        <v>22</v>
      </c>
      <c r="N381" t="s">
        <v>84</v>
      </c>
      <c r="O381" t="s">
        <v>244</v>
      </c>
      <c r="P381">
        <v>336</v>
      </c>
      <c r="Q381">
        <v>50</v>
      </c>
      <c r="R381" t="s">
        <v>36</v>
      </c>
      <c r="S381">
        <v>12</v>
      </c>
      <c r="T381">
        <v>12</v>
      </c>
      <c r="U381" t="s">
        <v>112</v>
      </c>
      <c r="V381" t="s">
        <v>37</v>
      </c>
      <c r="W381">
        <v>450</v>
      </c>
      <c r="X381">
        <v>532</v>
      </c>
      <c r="Y381">
        <v>8.3000000000000007</v>
      </c>
      <c r="Z381">
        <v>500</v>
      </c>
      <c r="AA381">
        <v>2000</v>
      </c>
      <c r="AB381">
        <v>50</v>
      </c>
      <c r="AC381" t="s">
        <v>40</v>
      </c>
    </row>
    <row r="382" spans="1:29" x14ac:dyDescent="0.25">
      <c r="A382" t="str">
        <f>"Raman_"&amp;E382&amp;"_"&amp;B382&amp;"_"&amp;AC382&amp;"_"&amp;TEXT(F382, "000")&amp;"_"&amp;TEXT(G382, "000")&amp;"_"&amp;H382&amp;".csv"</f>
        <v>Raman_EG_Pavlovagyrans_raw_002_007_E7.csv</v>
      </c>
      <c r="B382" t="s">
        <v>255</v>
      </c>
      <c r="C382" t="s">
        <v>30</v>
      </c>
      <c r="D382" t="s">
        <v>30</v>
      </c>
      <c r="E382" t="s">
        <v>31</v>
      </c>
      <c r="F382">
        <v>2</v>
      </c>
      <c r="G382">
        <v>7</v>
      </c>
      <c r="H382" t="s">
        <v>89</v>
      </c>
      <c r="I382" t="s">
        <v>256</v>
      </c>
      <c r="J382" t="s">
        <v>34</v>
      </c>
      <c r="L382" t="s">
        <v>30</v>
      </c>
      <c r="M382">
        <v>22</v>
      </c>
      <c r="N382" t="s">
        <v>46</v>
      </c>
      <c r="O382" t="s">
        <v>244</v>
      </c>
      <c r="P382">
        <v>336</v>
      </c>
      <c r="Q382">
        <v>50</v>
      </c>
      <c r="R382" t="s">
        <v>36</v>
      </c>
      <c r="S382">
        <v>12</v>
      </c>
      <c r="T382">
        <v>12</v>
      </c>
      <c r="U382" t="s">
        <v>112</v>
      </c>
      <c r="V382" t="s">
        <v>37</v>
      </c>
      <c r="W382">
        <v>450</v>
      </c>
      <c r="X382">
        <v>532</v>
      </c>
      <c r="Y382">
        <v>8.3000000000000007</v>
      </c>
      <c r="Z382">
        <v>500</v>
      </c>
      <c r="AA382">
        <v>2000</v>
      </c>
      <c r="AB382">
        <v>50</v>
      </c>
      <c r="AC382" t="s">
        <v>40</v>
      </c>
    </row>
    <row r="383" spans="1:29" x14ac:dyDescent="0.25">
      <c r="A383" t="str">
        <f>"Raman_"&amp;E383&amp;"_"&amp;B383&amp;"_"&amp;AC383&amp;"_"&amp;TEXT(F383, "000")&amp;"_"&amp;TEXT(G383, "000")&amp;"_"&amp;H383&amp;".csv"</f>
        <v>Raman_EG_Pavlovagyrans_raw_002_007_E8.csv</v>
      </c>
      <c r="B383" t="s">
        <v>255</v>
      </c>
      <c r="C383" t="s">
        <v>30</v>
      </c>
      <c r="D383" t="s">
        <v>30</v>
      </c>
      <c r="E383" t="s">
        <v>31</v>
      </c>
      <c r="F383">
        <v>2</v>
      </c>
      <c r="G383">
        <v>7</v>
      </c>
      <c r="H383" t="s">
        <v>91</v>
      </c>
      <c r="I383" t="s">
        <v>256</v>
      </c>
      <c r="J383" t="s">
        <v>34</v>
      </c>
      <c r="L383" t="s">
        <v>30</v>
      </c>
      <c r="M383">
        <v>22</v>
      </c>
      <c r="N383" t="s">
        <v>86</v>
      </c>
      <c r="O383" t="s">
        <v>244</v>
      </c>
      <c r="P383">
        <v>336</v>
      </c>
      <c r="Q383">
        <v>50</v>
      </c>
      <c r="R383" t="s">
        <v>36</v>
      </c>
      <c r="S383">
        <v>12</v>
      </c>
      <c r="T383">
        <v>12</v>
      </c>
      <c r="U383" t="s">
        <v>112</v>
      </c>
      <c r="V383" t="s">
        <v>37</v>
      </c>
      <c r="W383">
        <v>450</v>
      </c>
      <c r="X383">
        <v>532</v>
      </c>
      <c r="Y383">
        <v>8.3000000000000007</v>
      </c>
      <c r="Z383">
        <v>500</v>
      </c>
      <c r="AA383">
        <v>2000</v>
      </c>
      <c r="AB383">
        <v>50</v>
      </c>
      <c r="AC383" t="s">
        <v>40</v>
      </c>
    </row>
    <row r="384" spans="1:29" x14ac:dyDescent="0.25">
      <c r="A384" t="str">
        <f>"Raman_"&amp;E384&amp;"_"&amp;B384&amp;"_"&amp;AC384&amp;"_"&amp;TEXT(F384, "000")&amp;"_"&amp;TEXT(G384, "000")&amp;"_"&amp;H384&amp;".csv"</f>
        <v>Raman_EG_Pavlovagyrans_raw_002_007_F1.csv</v>
      </c>
      <c r="B384" t="s">
        <v>255</v>
      </c>
      <c r="C384" t="s">
        <v>30</v>
      </c>
      <c r="D384" t="s">
        <v>30</v>
      </c>
      <c r="E384" t="s">
        <v>31</v>
      </c>
      <c r="F384">
        <v>2</v>
      </c>
      <c r="G384">
        <v>7</v>
      </c>
      <c r="H384" t="s">
        <v>164</v>
      </c>
      <c r="I384" t="s">
        <v>256</v>
      </c>
      <c r="J384" t="s">
        <v>34</v>
      </c>
      <c r="L384" t="s">
        <v>30</v>
      </c>
      <c r="M384">
        <v>22</v>
      </c>
      <c r="N384" t="s">
        <v>35</v>
      </c>
      <c r="O384" t="s">
        <v>244</v>
      </c>
      <c r="P384">
        <v>336</v>
      </c>
      <c r="Q384">
        <v>50</v>
      </c>
      <c r="R384" t="s">
        <v>36</v>
      </c>
      <c r="S384">
        <v>12</v>
      </c>
      <c r="T384">
        <v>12</v>
      </c>
      <c r="U384" t="s">
        <v>112</v>
      </c>
      <c r="V384" t="s">
        <v>37</v>
      </c>
      <c r="W384">
        <v>450</v>
      </c>
      <c r="X384">
        <v>532</v>
      </c>
      <c r="Y384">
        <v>8.3000000000000007</v>
      </c>
      <c r="Z384">
        <v>500</v>
      </c>
      <c r="AA384">
        <v>2000</v>
      </c>
      <c r="AB384">
        <v>50</v>
      </c>
      <c r="AC384" t="s">
        <v>40</v>
      </c>
    </row>
    <row r="385" spans="1:29" x14ac:dyDescent="0.25">
      <c r="A385" t="str">
        <f>"Raman_"&amp;E385&amp;"_"&amp;B385&amp;"_"&amp;AC385&amp;"_"&amp;TEXT(F385, "000")&amp;"_"&amp;TEXT(G385, "000")&amp;"_"&amp;H385&amp;".csv"</f>
        <v>Raman_EG_Pavlovagyrans_raw_002_007_F2.csv</v>
      </c>
      <c r="B385" t="s">
        <v>255</v>
      </c>
      <c r="C385" t="s">
        <v>30</v>
      </c>
      <c r="D385" t="s">
        <v>30</v>
      </c>
      <c r="E385" t="s">
        <v>31</v>
      </c>
      <c r="F385">
        <v>2</v>
      </c>
      <c r="G385">
        <v>7</v>
      </c>
      <c r="H385" t="s">
        <v>98</v>
      </c>
      <c r="I385" t="s">
        <v>256</v>
      </c>
      <c r="J385" t="s">
        <v>34</v>
      </c>
      <c r="L385" t="s">
        <v>30</v>
      </c>
      <c r="M385">
        <v>22</v>
      </c>
      <c r="N385" t="s">
        <v>80</v>
      </c>
      <c r="O385" t="s">
        <v>244</v>
      </c>
      <c r="P385">
        <v>336</v>
      </c>
      <c r="Q385">
        <v>50</v>
      </c>
      <c r="R385" t="s">
        <v>36</v>
      </c>
      <c r="S385">
        <v>12</v>
      </c>
      <c r="T385">
        <v>12</v>
      </c>
      <c r="U385" t="s">
        <v>112</v>
      </c>
      <c r="V385" t="s">
        <v>37</v>
      </c>
      <c r="W385">
        <v>450</v>
      </c>
      <c r="X385">
        <v>532</v>
      </c>
      <c r="Y385">
        <v>8.3000000000000007</v>
      </c>
      <c r="Z385">
        <v>500</v>
      </c>
      <c r="AA385">
        <v>2000</v>
      </c>
      <c r="AB385">
        <v>50</v>
      </c>
      <c r="AC385" t="s">
        <v>40</v>
      </c>
    </row>
    <row r="386" spans="1:29" x14ac:dyDescent="0.25">
      <c r="A386" t="str">
        <f>"Raman_"&amp;E386&amp;"_"&amp;B386&amp;"_"&amp;AC386&amp;"_"&amp;TEXT(F386, "000")&amp;"_"&amp;TEXT(G386, "000")&amp;"_"&amp;H386&amp;".csv"</f>
        <v>Raman_EG_Pavlovagyrans_raw_002_007_F3.csv</v>
      </c>
      <c r="B386" t="s">
        <v>255</v>
      </c>
      <c r="C386" t="s">
        <v>30</v>
      </c>
      <c r="D386" t="s">
        <v>30</v>
      </c>
      <c r="E386" t="s">
        <v>31</v>
      </c>
      <c r="F386">
        <v>2</v>
      </c>
      <c r="G386">
        <v>7</v>
      </c>
      <c r="H386" t="s">
        <v>99</v>
      </c>
      <c r="I386" t="s">
        <v>256</v>
      </c>
      <c r="J386" t="s">
        <v>34</v>
      </c>
      <c r="L386" t="s">
        <v>30</v>
      </c>
      <c r="M386">
        <v>22</v>
      </c>
      <c r="N386" t="s">
        <v>42</v>
      </c>
      <c r="O386" t="s">
        <v>244</v>
      </c>
      <c r="P386">
        <v>336</v>
      </c>
      <c r="Q386">
        <v>50</v>
      </c>
      <c r="R386" t="s">
        <v>36</v>
      </c>
      <c r="S386">
        <v>12</v>
      </c>
      <c r="T386">
        <v>12</v>
      </c>
      <c r="U386" t="s">
        <v>112</v>
      </c>
      <c r="V386" t="s">
        <v>37</v>
      </c>
      <c r="W386">
        <v>450</v>
      </c>
      <c r="X386">
        <v>532</v>
      </c>
      <c r="Y386">
        <v>8.3000000000000007</v>
      </c>
      <c r="Z386">
        <v>500</v>
      </c>
      <c r="AA386">
        <v>2000</v>
      </c>
      <c r="AB386">
        <v>50</v>
      </c>
      <c r="AC386" t="s">
        <v>40</v>
      </c>
    </row>
    <row r="387" spans="1:29" x14ac:dyDescent="0.25">
      <c r="A387" t="str">
        <f>"Raman_"&amp;E387&amp;"_"&amp;B387&amp;"_"&amp;AC387&amp;"_"&amp;TEXT(F387, "000")&amp;"_"&amp;TEXT(G387, "000")&amp;"_"&amp;H387&amp;".csv"</f>
        <v>Raman_EG_Pavlovagyrans_raw_002_007_F4.csv</v>
      </c>
      <c r="B387" t="s">
        <v>255</v>
      </c>
      <c r="C387" t="s">
        <v>30</v>
      </c>
      <c r="D387" t="s">
        <v>30</v>
      </c>
      <c r="E387" t="s">
        <v>31</v>
      </c>
      <c r="F387">
        <v>2</v>
      </c>
      <c r="G387">
        <v>7</v>
      </c>
      <c r="H387" t="s">
        <v>100</v>
      </c>
      <c r="I387" t="s">
        <v>256</v>
      </c>
      <c r="J387" t="s">
        <v>34</v>
      </c>
      <c r="L387" t="s">
        <v>30</v>
      </c>
      <c r="M387">
        <v>22</v>
      </c>
      <c r="N387" t="s">
        <v>82</v>
      </c>
      <c r="O387" t="s">
        <v>244</v>
      </c>
      <c r="P387">
        <v>336</v>
      </c>
      <c r="Q387">
        <v>50</v>
      </c>
      <c r="R387" t="s">
        <v>36</v>
      </c>
      <c r="S387">
        <v>12</v>
      </c>
      <c r="T387">
        <v>12</v>
      </c>
      <c r="U387" t="s">
        <v>112</v>
      </c>
      <c r="V387" t="s">
        <v>37</v>
      </c>
      <c r="W387">
        <v>450</v>
      </c>
      <c r="X387">
        <v>532</v>
      </c>
      <c r="Y387">
        <v>8.3000000000000007</v>
      </c>
      <c r="Z387">
        <v>500</v>
      </c>
      <c r="AA387">
        <v>2000</v>
      </c>
      <c r="AB387">
        <v>50</v>
      </c>
      <c r="AC387" t="s">
        <v>40</v>
      </c>
    </row>
    <row r="388" spans="1:29" x14ac:dyDescent="0.25">
      <c r="A388" t="str">
        <f>"Raman_"&amp;E388&amp;"_"&amp;B388&amp;"_"&amp;AC388&amp;"_"&amp;TEXT(F388, "000")&amp;"_"&amp;TEXT(G388, "000")&amp;"_"&amp;H388&amp;".csv"</f>
        <v>Raman_EG_Pavlovagyrans_raw_002_007_F5.csv</v>
      </c>
      <c r="B388" t="s">
        <v>255</v>
      </c>
      <c r="C388" t="s">
        <v>30</v>
      </c>
      <c r="D388" t="s">
        <v>30</v>
      </c>
      <c r="E388" t="s">
        <v>31</v>
      </c>
      <c r="F388">
        <v>2</v>
      </c>
      <c r="G388">
        <v>7</v>
      </c>
      <c r="H388" t="s">
        <v>101</v>
      </c>
      <c r="I388" t="s">
        <v>256</v>
      </c>
      <c r="J388" t="s">
        <v>34</v>
      </c>
      <c r="L388" t="s">
        <v>30</v>
      </c>
      <c r="M388">
        <v>22</v>
      </c>
      <c r="N388" t="s">
        <v>44</v>
      </c>
      <c r="O388" t="s">
        <v>244</v>
      </c>
      <c r="P388">
        <v>336</v>
      </c>
      <c r="Q388">
        <v>50</v>
      </c>
      <c r="R388" t="s">
        <v>36</v>
      </c>
      <c r="S388">
        <v>12</v>
      </c>
      <c r="T388">
        <v>12</v>
      </c>
      <c r="U388" t="s">
        <v>112</v>
      </c>
      <c r="V388" t="s">
        <v>37</v>
      </c>
      <c r="W388">
        <v>450</v>
      </c>
      <c r="X388">
        <v>532</v>
      </c>
      <c r="Y388">
        <v>8.3000000000000007</v>
      </c>
      <c r="Z388">
        <v>500</v>
      </c>
      <c r="AA388">
        <v>2000</v>
      </c>
      <c r="AB388">
        <v>50</v>
      </c>
      <c r="AC388" t="s">
        <v>40</v>
      </c>
    </row>
    <row r="389" spans="1:29" x14ac:dyDescent="0.25">
      <c r="A389" t="str">
        <f>"Raman_"&amp;E389&amp;"_"&amp;B389&amp;"_"&amp;AC389&amp;"_"&amp;TEXT(F389, "000")&amp;"_"&amp;TEXT(G389, "000")&amp;"_"&amp;H389&amp;".csv"</f>
        <v>Raman_EG_Pavlovagyrans_raw_002_007_F6.csv</v>
      </c>
      <c r="B389" t="s">
        <v>255</v>
      </c>
      <c r="C389" t="s">
        <v>30</v>
      </c>
      <c r="D389" t="s">
        <v>30</v>
      </c>
      <c r="E389" t="s">
        <v>31</v>
      </c>
      <c r="F389">
        <v>2</v>
      </c>
      <c r="G389">
        <v>7</v>
      </c>
      <c r="H389" t="s">
        <v>102</v>
      </c>
      <c r="I389" t="s">
        <v>256</v>
      </c>
      <c r="J389" t="s">
        <v>34</v>
      </c>
      <c r="L389" t="s">
        <v>30</v>
      </c>
      <c r="M389">
        <v>22</v>
      </c>
      <c r="N389" t="s">
        <v>84</v>
      </c>
      <c r="O389" t="s">
        <v>244</v>
      </c>
      <c r="P389">
        <v>336</v>
      </c>
      <c r="Q389">
        <v>50</v>
      </c>
      <c r="R389" t="s">
        <v>36</v>
      </c>
      <c r="S389">
        <v>12</v>
      </c>
      <c r="T389">
        <v>12</v>
      </c>
      <c r="U389" t="s">
        <v>112</v>
      </c>
      <c r="V389" t="s">
        <v>37</v>
      </c>
      <c r="W389">
        <v>450</v>
      </c>
      <c r="X389">
        <v>532</v>
      </c>
      <c r="Y389">
        <v>8.3000000000000007</v>
      </c>
      <c r="Z389">
        <v>500</v>
      </c>
      <c r="AA389">
        <v>2000</v>
      </c>
      <c r="AB389">
        <v>50</v>
      </c>
      <c r="AC389" t="s">
        <v>40</v>
      </c>
    </row>
    <row r="390" spans="1:29" x14ac:dyDescent="0.25">
      <c r="A390" t="str">
        <f>"Raman_"&amp;E390&amp;"_"&amp;B390&amp;"_"&amp;AC390&amp;"_"&amp;TEXT(F390, "000")&amp;"_"&amp;TEXT(G390, "000")&amp;"_"&amp;H390&amp;".csv"</f>
        <v>Raman_EG_Pavlovagyrans_raw_002_007_F7.csv</v>
      </c>
      <c r="B390" t="s">
        <v>255</v>
      </c>
      <c r="C390" t="s">
        <v>30</v>
      </c>
      <c r="D390" t="s">
        <v>30</v>
      </c>
      <c r="E390" t="s">
        <v>31</v>
      </c>
      <c r="F390">
        <v>2</v>
      </c>
      <c r="G390">
        <v>7</v>
      </c>
      <c r="H390" t="s">
        <v>103</v>
      </c>
      <c r="I390" t="s">
        <v>256</v>
      </c>
      <c r="J390" t="s">
        <v>34</v>
      </c>
      <c r="L390" t="s">
        <v>30</v>
      </c>
      <c r="M390">
        <v>22</v>
      </c>
      <c r="N390" t="s">
        <v>46</v>
      </c>
      <c r="O390" t="s">
        <v>244</v>
      </c>
      <c r="P390">
        <v>336</v>
      </c>
      <c r="Q390">
        <v>50</v>
      </c>
      <c r="R390" t="s">
        <v>36</v>
      </c>
      <c r="S390">
        <v>12</v>
      </c>
      <c r="T390">
        <v>12</v>
      </c>
      <c r="U390" t="s">
        <v>112</v>
      </c>
      <c r="V390" t="s">
        <v>37</v>
      </c>
      <c r="W390">
        <v>450</v>
      </c>
      <c r="X390">
        <v>532</v>
      </c>
      <c r="Y390">
        <v>8.3000000000000007</v>
      </c>
      <c r="Z390">
        <v>500</v>
      </c>
      <c r="AA390">
        <v>2000</v>
      </c>
      <c r="AB390">
        <v>50</v>
      </c>
      <c r="AC390" t="s">
        <v>40</v>
      </c>
    </row>
    <row r="391" spans="1:29" x14ac:dyDescent="0.25">
      <c r="A391" t="str">
        <f>"Raman_"&amp;E391&amp;"_"&amp;B391&amp;"_"&amp;AC391&amp;"_"&amp;TEXT(F391, "000")&amp;"_"&amp;TEXT(G391, "000")&amp;"_"&amp;H391&amp;".csv"</f>
        <v>Raman_EG_Pavlovagyrans_raw_002_007_F8.csv</v>
      </c>
      <c r="B391" t="s">
        <v>255</v>
      </c>
      <c r="C391" t="s">
        <v>30</v>
      </c>
      <c r="D391" t="s">
        <v>30</v>
      </c>
      <c r="E391" t="s">
        <v>31</v>
      </c>
      <c r="F391">
        <v>2</v>
      </c>
      <c r="G391">
        <v>7</v>
      </c>
      <c r="H391" t="s">
        <v>104</v>
      </c>
      <c r="I391" t="s">
        <v>256</v>
      </c>
      <c r="J391" t="s">
        <v>34</v>
      </c>
      <c r="L391" t="s">
        <v>30</v>
      </c>
      <c r="M391">
        <v>22</v>
      </c>
      <c r="N391" t="s">
        <v>86</v>
      </c>
      <c r="O391" t="s">
        <v>244</v>
      </c>
      <c r="P391">
        <v>336</v>
      </c>
      <c r="Q391">
        <v>50</v>
      </c>
      <c r="R391" t="s">
        <v>36</v>
      </c>
      <c r="S391">
        <v>12</v>
      </c>
      <c r="T391">
        <v>12</v>
      </c>
      <c r="U391" t="s">
        <v>112</v>
      </c>
      <c r="V391" t="s">
        <v>37</v>
      </c>
      <c r="W391">
        <v>450</v>
      </c>
      <c r="X391">
        <v>532</v>
      </c>
      <c r="Y391">
        <v>8.3000000000000007</v>
      </c>
      <c r="Z391">
        <v>500</v>
      </c>
      <c r="AA391">
        <v>2000</v>
      </c>
      <c r="AB391">
        <v>50</v>
      </c>
      <c r="AC391" t="s">
        <v>40</v>
      </c>
    </row>
    <row r="392" spans="1:29" x14ac:dyDescent="0.25">
      <c r="A392" t="str">
        <f>"Raman_"&amp;E392&amp;"_"&amp;B392&amp;"_"&amp;AC392&amp;"_"&amp;TEXT(F392, "000")&amp;"_"&amp;TEXT(G392, "000")&amp;"_"&amp;H392&amp;".csv"</f>
        <v>Raman_EG_Pavlovagyrans_raw_002_008_A1.csv</v>
      </c>
      <c r="B392" t="s">
        <v>255</v>
      </c>
      <c r="C392" t="s">
        <v>30</v>
      </c>
      <c r="D392" t="s">
        <v>30</v>
      </c>
      <c r="E392" t="s">
        <v>31</v>
      </c>
      <c r="F392">
        <v>2</v>
      </c>
      <c r="G392">
        <v>8</v>
      </c>
      <c r="H392" t="s">
        <v>110</v>
      </c>
      <c r="I392" t="s">
        <v>256</v>
      </c>
      <c r="J392" t="s">
        <v>34</v>
      </c>
      <c r="L392" t="s">
        <v>30</v>
      </c>
      <c r="M392">
        <v>22</v>
      </c>
      <c r="N392" t="s">
        <v>48</v>
      </c>
      <c r="O392" t="s">
        <v>245</v>
      </c>
      <c r="P392">
        <v>336</v>
      </c>
      <c r="Q392">
        <v>50</v>
      </c>
      <c r="R392" t="s">
        <v>36</v>
      </c>
      <c r="S392">
        <v>12</v>
      </c>
      <c r="T392">
        <v>12</v>
      </c>
      <c r="U392" t="s">
        <v>112</v>
      </c>
      <c r="V392" t="s">
        <v>37</v>
      </c>
      <c r="W392">
        <v>450</v>
      </c>
      <c r="X392">
        <v>532</v>
      </c>
      <c r="Y392">
        <v>8.3000000000000007</v>
      </c>
      <c r="Z392">
        <v>500</v>
      </c>
      <c r="AA392">
        <v>2000</v>
      </c>
      <c r="AB392">
        <v>50</v>
      </c>
      <c r="AC392" t="s">
        <v>40</v>
      </c>
    </row>
    <row r="393" spans="1:29" x14ac:dyDescent="0.25">
      <c r="A393" t="str">
        <f>"Raman_"&amp;E393&amp;"_"&amp;B393&amp;"_"&amp;AC393&amp;"_"&amp;TEXT(F393, "000")&amp;"_"&amp;TEXT(G393, "000")&amp;"_"&amp;H393&amp;".csv"</f>
        <v>Raman_EG_Pavlovagyrans_raw_002_008_A2.csv</v>
      </c>
      <c r="B393" t="s">
        <v>255</v>
      </c>
      <c r="C393" t="s">
        <v>30</v>
      </c>
      <c r="D393" t="s">
        <v>30</v>
      </c>
      <c r="E393" t="s">
        <v>31</v>
      </c>
      <c r="F393">
        <v>2</v>
      </c>
      <c r="G393">
        <v>8</v>
      </c>
      <c r="H393" t="s">
        <v>114</v>
      </c>
      <c r="I393" t="s">
        <v>256</v>
      </c>
      <c r="J393" t="s">
        <v>34</v>
      </c>
      <c r="L393" t="s">
        <v>30</v>
      </c>
      <c r="M393">
        <v>22</v>
      </c>
      <c r="N393" t="s">
        <v>88</v>
      </c>
      <c r="O393" t="s">
        <v>245</v>
      </c>
      <c r="P393">
        <v>336</v>
      </c>
      <c r="Q393">
        <v>50</v>
      </c>
      <c r="R393" t="s">
        <v>36</v>
      </c>
      <c r="S393">
        <v>12</v>
      </c>
      <c r="T393">
        <v>12</v>
      </c>
      <c r="U393" t="s">
        <v>112</v>
      </c>
      <c r="V393" t="s">
        <v>37</v>
      </c>
      <c r="W393">
        <v>450</v>
      </c>
      <c r="X393">
        <v>532</v>
      </c>
      <c r="Y393">
        <v>8.3000000000000007</v>
      </c>
      <c r="Z393">
        <v>500</v>
      </c>
      <c r="AA393">
        <v>2000</v>
      </c>
      <c r="AB393">
        <v>50</v>
      </c>
      <c r="AC393" t="s">
        <v>40</v>
      </c>
    </row>
    <row r="394" spans="1:29" x14ac:dyDescent="0.25">
      <c r="A394" t="str">
        <f>"Raman_"&amp;E394&amp;"_"&amp;B394&amp;"_"&amp;AC394&amp;"_"&amp;TEXT(F394, "000")&amp;"_"&amp;TEXT(G394, "000")&amp;"_"&amp;H394&amp;".csv"</f>
        <v>Raman_EG_Pavlovagyrans_raw_002_008_A3.csv</v>
      </c>
      <c r="B394" t="s">
        <v>255</v>
      </c>
      <c r="C394" t="s">
        <v>30</v>
      </c>
      <c r="D394" t="s">
        <v>30</v>
      </c>
      <c r="E394" t="s">
        <v>31</v>
      </c>
      <c r="F394">
        <v>2</v>
      </c>
      <c r="G394">
        <v>8</v>
      </c>
      <c r="H394" t="s">
        <v>116</v>
      </c>
      <c r="I394" t="s">
        <v>256</v>
      </c>
      <c r="J394" t="s">
        <v>34</v>
      </c>
      <c r="L394" t="s">
        <v>30</v>
      </c>
      <c r="M394">
        <v>22</v>
      </c>
      <c r="N394" t="s">
        <v>50</v>
      </c>
      <c r="O394" t="s">
        <v>245</v>
      </c>
      <c r="P394">
        <v>336</v>
      </c>
      <c r="Q394">
        <v>50</v>
      </c>
      <c r="R394" t="s">
        <v>36</v>
      </c>
      <c r="S394">
        <v>12</v>
      </c>
      <c r="T394">
        <v>12</v>
      </c>
      <c r="U394" t="s">
        <v>112</v>
      </c>
      <c r="V394" t="s">
        <v>37</v>
      </c>
      <c r="W394">
        <v>450</v>
      </c>
      <c r="X394">
        <v>532</v>
      </c>
      <c r="Y394">
        <v>8.3000000000000007</v>
      </c>
      <c r="Z394">
        <v>500</v>
      </c>
      <c r="AA394">
        <v>2000</v>
      </c>
      <c r="AB394">
        <v>50</v>
      </c>
      <c r="AC394" t="s">
        <v>40</v>
      </c>
    </row>
    <row r="395" spans="1:29" x14ac:dyDescent="0.25">
      <c r="A395" t="str">
        <f>"Raman_"&amp;E395&amp;"_"&amp;B395&amp;"_"&amp;AC395&amp;"_"&amp;TEXT(F395, "000")&amp;"_"&amp;TEXT(G395, "000")&amp;"_"&amp;H395&amp;".csv"</f>
        <v>Raman_EG_Pavlovagyrans_raw_002_008_A4.csv</v>
      </c>
      <c r="B395" t="s">
        <v>255</v>
      </c>
      <c r="C395" t="s">
        <v>30</v>
      </c>
      <c r="D395" t="s">
        <v>30</v>
      </c>
      <c r="E395" t="s">
        <v>31</v>
      </c>
      <c r="F395">
        <v>2</v>
      </c>
      <c r="G395">
        <v>8</v>
      </c>
      <c r="H395" t="s">
        <v>118</v>
      </c>
      <c r="I395" t="s">
        <v>256</v>
      </c>
      <c r="J395" t="s">
        <v>34</v>
      </c>
      <c r="L395" t="s">
        <v>30</v>
      </c>
      <c r="M395">
        <v>22</v>
      </c>
      <c r="N395" t="s">
        <v>90</v>
      </c>
      <c r="O395" t="s">
        <v>245</v>
      </c>
      <c r="P395">
        <v>336</v>
      </c>
      <c r="Q395">
        <v>50</v>
      </c>
      <c r="R395" t="s">
        <v>36</v>
      </c>
      <c r="S395">
        <v>12</v>
      </c>
      <c r="T395">
        <v>12</v>
      </c>
      <c r="U395" t="s">
        <v>112</v>
      </c>
      <c r="V395" t="s">
        <v>37</v>
      </c>
      <c r="W395">
        <v>450</v>
      </c>
      <c r="X395">
        <v>532</v>
      </c>
      <c r="Y395">
        <v>8.3000000000000007</v>
      </c>
      <c r="Z395">
        <v>500</v>
      </c>
      <c r="AA395">
        <v>2000</v>
      </c>
      <c r="AB395">
        <v>50</v>
      </c>
      <c r="AC395" t="s">
        <v>40</v>
      </c>
    </row>
    <row r="396" spans="1:29" x14ac:dyDescent="0.25">
      <c r="A396" t="str">
        <f>"Raman_"&amp;E396&amp;"_"&amp;B396&amp;"_"&amp;AC396&amp;"_"&amp;TEXT(F396, "000")&amp;"_"&amp;TEXT(G396, "000")&amp;"_"&amp;H396&amp;".csv"</f>
        <v>Raman_EG_Pavlovagyrans_raw_002_008_A5.csv</v>
      </c>
      <c r="B396" t="s">
        <v>255</v>
      </c>
      <c r="C396" t="s">
        <v>30</v>
      </c>
      <c r="D396" t="s">
        <v>30</v>
      </c>
      <c r="E396" t="s">
        <v>31</v>
      </c>
      <c r="F396">
        <v>2</v>
      </c>
      <c r="G396">
        <v>8</v>
      </c>
      <c r="H396" t="s">
        <v>120</v>
      </c>
      <c r="I396" t="s">
        <v>256</v>
      </c>
      <c r="J396" t="s">
        <v>34</v>
      </c>
      <c r="L396" t="s">
        <v>30</v>
      </c>
      <c r="M396">
        <v>22</v>
      </c>
      <c r="N396" t="s">
        <v>52</v>
      </c>
      <c r="O396" t="s">
        <v>245</v>
      </c>
      <c r="P396">
        <v>336</v>
      </c>
      <c r="Q396">
        <v>50</v>
      </c>
      <c r="R396" t="s">
        <v>36</v>
      </c>
      <c r="S396">
        <v>12</v>
      </c>
      <c r="T396">
        <v>12</v>
      </c>
      <c r="U396" t="s">
        <v>112</v>
      </c>
      <c r="V396" t="s">
        <v>37</v>
      </c>
      <c r="W396">
        <v>450</v>
      </c>
      <c r="X396">
        <v>532</v>
      </c>
      <c r="Y396">
        <v>8.3000000000000007</v>
      </c>
      <c r="Z396">
        <v>500</v>
      </c>
      <c r="AA396">
        <v>2000</v>
      </c>
      <c r="AB396">
        <v>50</v>
      </c>
      <c r="AC396" t="s">
        <v>40</v>
      </c>
    </row>
    <row r="397" spans="1:29" x14ac:dyDescent="0.25">
      <c r="A397" t="str">
        <f>"Raman_"&amp;E397&amp;"_"&amp;B397&amp;"_"&amp;AC397&amp;"_"&amp;TEXT(F397, "000")&amp;"_"&amp;TEXT(G397, "000")&amp;"_"&amp;H397&amp;".csv"</f>
        <v>Raman_EG_Pavlovagyrans_raw_002_008_A6.csv</v>
      </c>
      <c r="B397" t="s">
        <v>255</v>
      </c>
      <c r="C397" t="s">
        <v>30</v>
      </c>
      <c r="D397" t="s">
        <v>30</v>
      </c>
      <c r="E397" t="s">
        <v>31</v>
      </c>
      <c r="F397">
        <v>2</v>
      </c>
      <c r="G397">
        <v>8</v>
      </c>
      <c r="H397" t="s">
        <v>122</v>
      </c>
      <c r="I397" t="s">
        <v>256</v>
      </c>
      <c r="J397" t="s">
        <v>34</v>
      </c>
      <c r="L397" t="s">
        <v>30</v>
      </c>
      <c r="M397">
        <v>22</v>
      </c>
      <c r="N397" t="s">
        <v>92</v>
      </c>
      <c r="O397" t="s">
        <v>245</v>
      </c>
      <c r="P397">
        <v>336</v>
      </c>
      <c r="Q397">
        <v>50</v>
      </c>
      <c r="R397" t="s">
        <v>36</v>
      </c>
      <c r="S397">
        <v>12</v>
      </c>
      <c r="T397">
        <v>12</v>
      </c>
      <c r="U397" t="s">
        <v>112</v>
      </c>
      <c r="V397" t="s">
        <v>37</v>
      </c>
      <c r="W397">
        <v>450</v>
      </c>
      <c r="X397">
        <v>532</v>
      </c>
      <c r="Y397">
        <v>8.3000000000000007</v>
      </c>
      <c r="Z397">
        <v>500</v>
      </c>
      <c r="AA397">
        <v>2000</v>
      </c>
      <c r="AB397">
        <v>50</v>
      </c>
      <c r="AC397" t="s">
        <v>40</v>
      </c>
    </row>
    <row r="398" spans="1:29" x14ac:dyDescent="0.25">
      <c r="A398" t="str">
        <f>"Raman_"&amp;E398&amp;"_"&amp;B398&amp;"_"&amp;AC398&amp;"_"&amp;TEXT(F398, "000")&amp;"_"&amp;TEXT(G398, "000")&amp;"_"&amp;H398&amp;".csv"</f>
        <v>Raman_EG_Pavlovagyrans_raw_002_008_A7.csv</v>
      </c>
      <c r="B398" t="s">
        <v>255</v>
      </c>
      <c r="C398" t="s">
        <v>30</v>
      </c>
      <c r="D398" t="s">
        <v>30</v>
      </c>
      <c r="E398" t="s">
        <v>31</v>
      </c>
      <c r="F398">
        <v>2</v>
      </c>
      <c r="G398">
        <v>8</v>
      </c>
      <c r="H398" t="s">
        <v>124</v>
      </c>
      <c r="I398" t="s">
        <v>256</v>
      </c>
      <c r="J398" t="s">
        <v>34</v>
      </c>
      <c r="L398" t="s">
        <v>30</v>
      </c>
      <c r="M398">
        <v>22</v>
      </c>
      <c r="N398" t="s">
        <v>54</v>
      </c>
      <c r="O398" t="s">
        <v>245</v>
      </c>
      <c r="P398">
        <v>336</v>
      </c>
      <c r="Q398">
        <v>50</v>
      </c>
      <c r="R398" t="s">
        <v>36</v>
      </c>
      <c r="S398">
        <v>12</v>
      </c>
      <c r="T398">
        <v>12</v>
      </c>
      <c r="U398" t="s">
        <v>112</v>
      </c>
      <c r="V398" t="s">
        <v>37</v>
      </c>
      <c r="W398">
        <v>450</v>
      </c>
      <c r="X398">
        <v>532</v>
      </c>
      <c r="Y398">
        <v>8.3000000000000007</v>
      </c>
      <c r="Z398">
        <v>500</v>
      </c>
      <c r="AA398">
        <v>2000</v>
      </c>
      <c r="AB398">
        <v>50</v>
      </c>
      <c r="AC398" t="s">
        <v>40</v>
      </c>
    </row>
    <row r="399" spans="1:29" x14ac:dyDescent="0.25">
      <c r="A399" t="str">
        <f>"Raman_"&amp;E399&amp;"_"&amp;B399&amp;"_"&amp;AC399&amp;"_"&amp;TEXT(F399, "000")&amp;"_"&amp;TEXT(G399, "000")&amp;"_"&amp;H399&amp;".csv"</f>
        <v>Raman_EG_Pavlovagyrans_raw_002_008_A8.csv</v>
      </c>
      <c r="B399" t="s">
        <v>255</v>
      </c>
      <c r="C399" t="s">
        <v>30</v>
      </c>
      <c r="D399" t="s">
        <v>30</v>
      </c>
      <c r="E399" t="s">
        <v>31</v>
      </c>
      <c r="F399">
        <v>2</v>
      </c>
      <c r="G399">
        <v>8</v>
      </c>
      <c r="H399" t="s">
        <v>126</v>
      </c>
      <c r="I399" t="s">
        <v>256</v>
      </c>
      <c r="J399" t="s">
        <v>34</v>
      </c>
      <c r="L399" t="s">
        <v>30</v>
      </c>
      <c r="M399">
        <v>22</v>
      </c>
      <c r="N399" t="s">
        <v>94</v>
      </c>
      <c r="O399" t="s">
        <v>245</v>
      </c>
      <c r="P399">
        <v>336</v>
      </c>
      <c r="Q399">
        <v>50</v>
      </c>
      <c r="R399" t="s">
        <v>36</v>
      </c>
      <c r="S399">
        <v>12</v>
      </c>
      <c r="T399">
        <v>12</v>
      </c>
      <c r="U399" t="s">
        <v>112</v>
      </c>
      <c r="V399" t="s">
        <v>37</v>
      </c>
      <c r="W399">
        <v>450</v>
      </c>
      <c r="X399">
        <v>532</v>
      </c>
      <c r="Y399">
        <v>8.3000000000000007</v>
      </c>
      <c r="Z399">
        <v>500</v>
      </c>
      <c r="AA399">
        <v>2000</v>
      </c>
      <c r="AB399">
        <v>50</v>
      </c>
      <c r="AC399" t="s">
        <v>40</v>
      </c>
    </row>
    <row r="400" spans="1:29" x14ac:dyDescent="0.25">
      <c r="A400" t="str">
        <f>"Raman_"&amp;E400&amp;"_"&amp;B400&amp;"_"&amp;AC400&amp;"_"&amp;TEXT(F400, "000")&amp;"_"&amp;TEXT(G400, "000")&amp;"_"&amp;H400&amp;".csv"</f>
        <v>Raman_EG_Pavlovagyrans_raw_002_008_A9.csv</v>
      </c>
      <c r="B400" t="s">
        <v>255</v>
      </c>
      <c r="C400" t="s">
        <v>30</v>
      </c>
      <c r="D400" t="s">
        <v>30</v>
      </c>
      <c r="E400" t="s">
        <v>31</v>
      </c>
      <c r="F400">
        <v>2</v>
      </c>
      <c r="G400">
        <v>8</v>
      </c>
      <c r="H400" t="s">
        <v>182</v>
      </c>
      <c r="I400" t="s">
        <v>256</v>
      </c>
      <c r="J400" t="s">
        <v>34</v>
      </c>
      <c r="L400" t="s">
        <v>30</v>
      </c>
      <c r="M400">
        <v>22</v>
      </c>
      <c r="N400" t="s">
        <v>56</v>
      </c>
      <c r="O400" t="s">
        <v>245</v>
      </c>
      <c r="P400">
        <v>336</v>
      </c>
      <c r="Q400">
        <v>50</v>
      </c>
      <c r="R400" t="s">
        <v>36</v>
      </c>
      <c r="S400">
        <v>12</v>
      </c>
      <c r="T400">
        <v>12</v>
      </c>
      <c r="U400" t="s">
        <v>112</v>
      </c>
      <c r="V400" t="s">
        <v>37</v>
      </c>
      <c r="W400">
        <v>450</v>
      </c>
      <c r="X400">
        <v>532</v>
      </c>
      <c r="Y400">
        <v>8.3000000000000007</v>
      </c>
      <c r="Z400">
        <v>500</v>
      </c>
      <c r="AA400">
        <v>2000</v>
      </c>
      <c r="AB400">
        <v>50</v>
      </c>
      <c r="AC400" t="s">
        <v>40</v>
      </c>
    </row>
    <row r="401" spans="1:29" x14ac:dyDescent="0.25">
      <c r="A401" t="str">
        <f>"Raman_"&amp;E401&amp;"_"&amp;B401&amp;"_"&amp;AC401&amp;"_"&amp;TEXT(F401, "000")&amp;"_"&amp;TEXT(G401, "000")&amp;"_"&amp;H401&amp;".csv"</f>
        <v>Raman_EG_Pavlovagyrans_raw_002_008_A10.csv</v>
      </c>
      <c r="B401" t="s">
        <v>255</v>
      </c>
      <c r="C401" t="s">
        <v>30</v>
      </c>
      <c r="D401" t="s">
        <v>30</v>
      </c>
      <c r="E401" t="s">
        <v>31</v>
      </c>
      <c r="F401">
        <v>2</v>
      </c>
      <c r="G401">
        <v>8</v>
      </c>
      <c r="H401" t="s">
        <v>184</v>
      </c>
      <c r="I401" t="s">
        <v>256</v>
      </c>
      <c r="J401" t="s">
        <v>34</v>
      </c>
      <c r="L401" t="s">
        <v>30</v>
      </c>
      <c r="M401">
        <v>22</v>
      </c>
      <c r="N401" t="s">
        <v>96</v>
      </c>
      <c r="O401" t="s">
        <v>245</v>
      </c>
      <c r="P401">
        <v>336</v>
      </c>
      <c r="Q401">
        <v>50</v>
      </c>
      <c r="R401" t="s">
        <v>36</v>
      </c>
      <c r="S401">
        <v>12</v>
      </c>
      <c r="T401">
        <v>12</v>
      </c>
      <c r="U401" t="s">
        <v>112</v>
      </c>
      <c r="V401" t="s">
        <v>37</v>
      </c>
      <c r="W401">
        <v>450</v>
      </c>
      <c r="X401">
        <v>532</v>
      </c>
      <c r="Y401">
        <v>8.3000000000000007</v>
      </c>
      <c r="Z401">
        <v>500</v>
      </c>
      <c r="AA401">
        <v>2000</v>
      </c>
      <c r="AB401">
        <v>50</v>
      </c>
      <c r="AC401" t="s">
        <v>40</v>
      </c>
    </row>
    <row r="402" spans="1:29" x14ac:dyDescent="0.25">
      <c r="A402" t="str">
        <f>"Raman_"&amp;E402&amp;"_"&amp;B402&amp;"_"&amp;AC402&amp;"_"&amp;TEXT(F402, "000")&amp;"_"&amp;TEXT(G402, "000")&amp;"_"&amp;H402&amp;".csv"</f>
        <v>Raman_EG_Pavlovagyrans_raw_002_008_A11.csv</v>
      </c>
      <c r="B402" t="s">
        <v>255</v>
      </c>
      <c r="C402" t="s">
        <v>30</v>
      </c>
      <c r="D402" t="s">
        <v>30</v>
      </c>
      <c r="E402" t="s">
        <v>31</v>
      </c>
      <c r="F402">
        <v>2</v>
      </c>
      <c r="G402">
        <v>8</v>
      </c>
      <c r="H402" t="s">
        <v>186</v>
      </c>
      <c r="I402" t="s">
        <v>256</v>
      </c>
      <c r="J402" t="s">
        <v>34</v>
      </c>
      <c r="L402" t="s">
        <v>30</v>
      </c>
      <c r="M402">
        <v>22</v>
      </c>
      <c r="N402" t="s">
        <v>58</v>
      </c>
      <c r="O402" t="s">
        <v>245</v>
      </c>
      <c r="P402">
        <v>336</v>
      </c>
      <c r="Q402">
        <v>50</v>
      </c>
      <c r="R402" t="s">
        <v>36</v>
      </c>
      <c r="S402">
        <v>12</v>
      </c>
      <c r="T402">
        <v>12</v>
      </c>
      <c r="U402" t="s">
        <v>112</v>
      </c>
      <c r="V402" t="s">
        <v>37</v>
      </c>
      <c r="W402">
        <v>450</v>
      </c>
      <c r="X402">
        <v>532</v>
      </c>
      <c r="Y402">
        <v>8.3000000000000007</v>
      </c>
      <c r="Z402">
        <v>500</v>
      </c>
      <c r="AA402">
        <v>2000</v>
      </c>
      <c r="AB402">
        <v>50</v>
      </c>
      <c r="AC402" t="s">
        <v>40</v>
      </c>
    </row>
    <row r="403" spans="1:29" x14ac:dyDescent="0.25">
      <c r="A403" t="str">
        <f>"Raman_"&amp;E403&amp;"_"&amp;B403&amp;"_"&amp;AC403&amp;"_"&amp;TEXT(F403, "000")&amp;"_"&amp;TEXT(G403, "000")&amp;"_"&amp;H403&amp;".csv"</f>
        <v>Raman_EG_Pavlovagyrans_raw_002_008_B1.csv</v>
      </c>
      <c r="B403" t="s">
        <v>255</v>
      </c>
      <c r="C403" t="s">
        <v>30</v>
      </c>
      <c r="D403" t="s">
        <v>30</v>
      </c>
      <c r="E403" t="s">
        <v>31</v>
      </c>
      <c r="F403">
        <v>2</v>
      </c>
      <c r="G403">
        <v>8</v>
      </c>
      <c r="H403" t="s">
        <v>128</v>
      </c>
      <c r="I403" t="s">
        <v>256</v>
      </c>
      <c r="J403" t="s">
        <v>34</v>
      </c>
      <c r="L403" t="s">
        <v>30</v>
      </c>
      <c r="M403">
        <v>22</v>
      </c>
      <c r="N403" t="s">
        <v>48</v>
      </c>
      <c r="O403" t="s">
        <v>245</v>
      </c>
      <c r="P403">
        <v>336</v>
      </c>
      <c r="Q403">
        <v>50</v>
      </c>
      <c r="R403" t="s">
        <v>36</v>
      </c>
      <c r="S403">
        <v>12</v>
      </c>
      <c r="T403">
        <v>12</v>
      </c>
      <c r="U403" t="s">
        <v>112</v>
      </c>
      <c r="V403" t="s">
        <v>37</v>
      </c>
      <c r="W403">
        <v>450</v>
      </c>
      <c r="X403">
        <v>532</v>
      </c>
      <c r="Y403">
        <v>8.3000000000000007</v>
      </c>
      <c r="Z403">
        <v>500</v>
      </c>
      <c r="AA403">
        <v>2000</v>
      </c>
      <c r="AB403">
        <v>50</v>
      </c>
      <c r="AC403" t="s">
        <v>40</v>
      </c>
    </row>
    <row r="404" spans="1:29" x14ac:dyDescent="0.25">
      <c r="A404" t="str">
        <f>"Raman_"&amp;E404&amp;"_"&amp;B404&amp;"_"&amp;AC404&amp;"_"&amp;TEXT(F404, "000")&amp;"_"&amp;TEXT(G404, "000")&amp;"_"&amp;H404&amp;".csv"</f>
        <v>Raman_EG_Pavlovagyrans_raw_002_008_B2.csv</v>
      </c>
      <c r="B404" t="s">
        <v>255</v>
      </c>
      <c r="C404" t="s">
        <v>30</v>
      </c>
      <c r="D404" t="s">
        <v>30</v>
      </c>
      <c r="E404" t="s">
        <v>31</v>
      </c>
      <c r="F404">
        <v>2</v>
      </c>
      <c r="G404">
        <v>8</v>
      </c>
      <c r="H404" t="s">
        <v>32</v>
      </c>
      <c r="I404" t="s">
        <v>256</v>
      </c>
      <c r="J404" t="s">
        <v>34</v>
      </c>
      <c r="L404" t="s">
        <v>30</v>
      </c>
      <c r="M404">
        <v>22</v>
      </c>
      <c r="N404" t="s">
        <v>88</v>
      </c>
      <c r="O404" t="s">
        <v>245</v>
      </c>
      <c r="P404">
        <v>336</v>
      </c>
      <c r="Q404">
        <v>50</v>
      </c>
      <c r="R404" t="s">
        <v>36</v>
      </c>
      <c r="S404">
        <v>12</v>
      </c>
      <c r="T404">
        <v>12</v>
      </c>
      <c r="U404" t="s">
        <v>112</v>
      </c>
      <c r="V404" t="s">
        <v>37</v>
      </c>
      <c r="W404">
        <v>450</v>
      </c>
      <c r="X404">
        <v>532</v>
      </c>
      <c r="Y404">
        <v>8.3000000000000007</v>
      </c>
      <c r="Z404">
        <v>500</v>
      </c>
      <c r="AA404">
        <v>2000</v>
      </c>
      <c r="AB404">
        <v>50</v>
      </c>
      <c r="AC404" t="s">
        <v>40</v>
      </c>
    </row>
    <row r="405" spans="1:29" x14ac:dyDescent="0.25">
      <c r="A405" t="str">
        <f>"Raman_"&amp;E405&amp;"_"&amp;B405&amp;"_"&amp;AC405&amp;"_"&amp;TEXT(F405, "000")&amp;"_"&amp;TEXT(G405, "000")&amp;"_"&amp;H405&amp;".csv"</f>
        <v>Raman_EG_Pavlovagyrans_raw_002_008_B3.csv</v>
      </c>
      <c r="B405" t="s">
        <v>255</v>
      </c>
      <c r="C405" t="s">
        <v>30</v>
      </c>
      <c r="D405" t="s">
        <v>30</v>
      </c>
      <c r="E405" t="s">
        <v>31</v>
      </c>
      <c r="F405">
        <v>2</v>
      </c>
      <c r="G405">
        <v>8</v>
      </c>
      <c r="H405" t="s">
        <v>41</v>
      </c>
      <c r="I405" t="s">
        <v>256</v>
      </c>
      <c r="J405" t="s">
        <v>34</v>
      </c>
      <c r="L405" t="s">
        <v>30</v>
      </c>
      <c r="M405">
        <v>22</v>
      </c>
      <c r="N405" t="s">
        <v>50</v>
      </c>
      <c r="O405" t="s">
        <v>245</v>
      </c>
      <c r="P405">
        <v>336</v>
      </c>
      <c r="Q405">
        <v>50</v>
      </c>
      <c r="R405" t="s">
        <v>36</v>
      </c>
      <c r="S405">
        <v>12</v>
      </c>
      <c r="T405">
        <v>12</v>
      </c>
      <c r="U405" t="s">
        <v>112</v>
      </c>
      <c r="V405" t="s">
        <v>37</v>
      </c>
      <c r="W405">
        <v>450</v>
      </c>
      <c r="X405">
        <v>532</v>
      </c>
      <c r="Y405">
        <v>8.3000000000000007</v>
      </c>
      <c r="Z405">
        <v>500</v>
      </c>
      <c r="AA405">
        <v>2000</v>
      </c>
      <c r="AB405">
        <v>50</v>
      </c>
      <c r="AC405" t="s">
        <v>40</v>
      </c>
    </row>
    <row r="406" spans="1:29" x14ac:dyDescent="0.25">
      <c r="A406" t="str">
        <f>"Raman_"&amp;E406&amp;"_"&amp;B406&amp;"_"&amp;AC406&amp;"_"&amp;TEXT(F406, "000")&amp;"_"&amp;TEXT(G406, "000")&amp;"_"&amp;H406&amp;".csv"</f>
        <v>Raman_EG_Pavlovagyrans_raw_002_008_B4.csv</v>
      </c>
      <c r="B406" t="s">
        <v>255</v>
      </c>
      <c r="C406" t="s">
        <v>30</v>
      </c>
      <c r="D406" t="s">
        <v>30</v>
      </c>
      <c r="E406" t="s">
        <v>31</v>
      </c>
      <c r="F406">
        <v>2</v>
      </c>
      <c r="G406">
        <v>8</v>
      </c>
      <c r="H406" t="s">
        <v>43</v>
      </c>
      <c r="I406" t="s">
        <v>256</v>
      </c>
      <c r="J406" t="s">
        <v>34</v>
      </c>
      <c r="L406" t="s">
        <v>30</v>
      </c>
      <c r="M406">
        <v>22</v>
      </c>
      <c r="N406" t="s">
        <v>90</v>
      </c>
      <c r="O406" t="s">
        <v>245</v>
      </c>
      <c r="P406">
        <v>336</v>
      </c>
      <c r="Q406">
        <v>50</v>
      </c>
      <c r="R406" t="s">
        <v>36</v>
      </c>
      <c r="S406">
        <v>12</v>
      </c>
      <c r="T406">
        <v>12</v>
      </c>
      <c r="U406" t="s">
        <v>112</v>
      </c>
      <c r="V406" t="s">
        <v>37</v>
      </c>
      <c r="W406">
        <v>450</v>
      </c>
      <c r="X406">
        <v>532</v>
      </c>
      <c r="Y406">
        <v>8.3000000000000007</v>
      </c>
      <c r="Z406">
        <v>500</v>
      </c>
      <c r="AA406">
        <v>2000</v>
      </c>
      <c r="AB406">
        <v>50</v>
      </c>
      <c r="AC406" t="s">
        <v>40</v>
      </c>
    </row>
    <row r="407" spans="1:29" x14ac:dyDescent="0.25">
      <c r="A407" t="str">
        <f>"Raman_"&amp;E407&amp;"_"&amp;B407&amp;"_"&amp;AC407&amp;"_"&amp;TEXT(F407, "000")&amp;"_"&amp;TEXT(G407, "000")&amp;"_"&amp;H407&amp;".csv"</f>
        <v>Raman_EG_Pavlovagyrans_raw_002_008_B5.csv</v>
      </c>
      <c r="B407" t="s">
        <v>255</v>
      </c>
      <c r="C407" t="s">
        <v>30</v>
      </c>
      <c r="D407" t="s">
        <v>30</v>
      </c>
      <c r="E407" t="s">
        <v>31</v>
      </c>
      <c r="F407">
        <v>2</v>
      </c>
      <c r="G407">
        <v>8</v>
      </c>
      <c r="H407" t="s">
        <v>45</v>
      </c>
      <c r="I407" t="s">
        <v>256</v>
      </c>
      <c r="J407" t="s">
        <v>34</v>
      </c>
      <c r="L407" t="s">
        <v>30</v>
      </c>
      <c r="M407">
        <v>22</v>
      </c>
      <c r="N407" t="s">
        <v>52</v>
      </c>
      <c r="O407" t="s">
        <v>245</v>
      </c>
      <c r="P407">
        <v>336</v>
      </c>
      <c r="Q407">
        <v>50</v>
      </c>
      <c r="R407" t="s">
        <v>36</v>
      </c>
      <c r="S407">
        <v>12</v>
      </c>
      <c r="T407">
        <v>12</v>
      </c>
      <c r="U407" t="s">
        <v>112</v>
      </c>
      <c r="V407" t="s">
        <v>37</v>
      </c>
      <c r="W407">
        <v>450</v>
      </c>
      <c r="X407">
        <v>532</v>
      </c>
      <c r="Y407">
        <v>8.3000000000000007</v>
      </c>
      <c r="Z407">
        <v>500</v>
      </c>
      <c r="AA407">
        <v>2000</v>
      </c>
      <c r="AB407">
        <v>50</v>
      </c>
      <c r="AC407" t="s">
        <v>40</v>
      </c>
    </row>
    <row r="408" spans="1:29" x14ac:dyDescent="0.25">
      <c r="A408" t="str">
        <f>"Raman_"&amp;E408&amp;"_"&amp;B408&amp;"_"&amp;AC408&amp;"_"&amp;TEXT(F408, "000")&amp;"_"&amp;TEXT(G408, "000")&amp;"_"&amp;H408&amp;".csv"</f>
        <v>Raman_EG_Pavlovagyrans_raw_002_008_B6.csv</v>
      </c>
      <c r="B408" t="s">
        <v>255</v>
      </c>
      <c r="C408" t="s">
        <v>30</v>
      </c>
      <c r="D408" t="s">
        <v>30</v>
      </c>
      <c r="E408" t="s">
        <v>31</v>
      </c>
      <c r="F408">
        <v>2</v>
      </c>
      <c r="G408">
        <v>8</v>
      </c>
      <c r="H408" t="s">
        <v>47</v>
      </c>
      <c r="I408" t="s">
        <v>256</v>
      </c>
      <c r="J408" t="s">
        <v>34</v>
      </c>
      <c r="L408" t="s">
        <v>30</v>
      </c>
      <c r="M408">
        <v>22</v>
      </c>
      <c r="N408" t="s">
        <v>92</v>
      </c>
      <c r="O408" t="s">
        <v>245</v>
      </c>
      <c r="P408">
        <v>336</v>
      </c>
      <c r="Q408">
        <v>50</v>
      </c>
      <c r="R408" t="s">
        <v>36</v>
      </c>
      <c r="S408">
        <v>12</v>
      </c>
      <c r="T408">
        <v>12</v>
      </c>
      <c r="U408" t="s">
        <v>112</v>
      </c>
      <c r="V408" t="s">
        <v>37</v>
      </c>
      <c r="W408">
        <v>450</v>
      </c>
      <c r="X408">
        <v>532</v>
      </c>
      <c r="Y408">
        <v>8.3000000000000007</v>
      </c>
      <c r="Z408">
        <v>500</v>
      </c>
      <c r="AA408">
        <v>2000</v>
      </c>
      <c r="AB408">
        <v>50</v>
      </c>
      <c r="AC408" t="s">
        <v>40</v>
      </c>
    </row>
    <row r="409" spans="1:29" x14ac:dyDescent="0.25">
      <c r="A409" t="str">
        <f>"Raman_"&amp;E409&amp;"_"&amp;B409&amp;"_"&amp;AC409&amp;"_"&amp;TEXT(F409, "000")&amp;"_"&amp;TEXT(G409, "000")&amp;"_"&amp;H409&amp;".csv"</f>
        <v>Raman_EG_Pavlovagyrans_raw_002_008_B7.csv</v>
      </c>
      <c r="B409" t="s">
        <v>255</v>
      </c>
      <c r="C409" t="s">
        <v>30</v>
      </c>
      <c r="D409" t="s">
        <v>30</v>
      </c>
      <c r="E409" t="s">
        <v>31</v>
      </c>
      <c r="F409">
        <v>2</v>
      </c>
      <c r="G409">
        <v>8</v>
      </c>
      <c r="H409" t="s">
        <v>49</v>
      </c>
      <c r="I409" t="s">
        <v>256</v>
      </c>
      <c r="J409" t="s">
        <v>34</v>
      </c>
      <c r="L409" t="s">
        <v>30</v>
      </c>
      <c r="M409">
        <v>22</v>
      </c>
      <c r="N409" t="s">
        <v>54</v>
      </c>
      <c r="O409" t="s">
        <v>245</v>
      </c>
      <c r="P409">
        <v>336</v>
      </c>
      <c r="Q409">
        <v>50</v>
      </c>
      <c r="R409" t="s">
        <v>36</v>
      </c>
      <c r="S409">
        <v>12</v>
      </c>
      <c r="T409">
        <v>12</v>
      </c>
      <c r="U409" t="s">
        <v>112</v>
      </c>
      <c r="V409" t="s">
        <v>37</v>
      </c>
      <c r="W409">
        <v>450</v>
      </c>
      <c r="X409">
        <v>532</v>
      </c>
      <c r="Y409">
        <v>8.3000000000000007</v>
      </c>
      <c r="Z409">
        <v>500</v>
      </c>
      <c r="AA409">
        <v>2000</v>
      </c>
      <c r="AB409">
        <v>50</v>
      </c>
      <c r="AC409" t="s">
        <v>40</v>
      </c>
    </row>
    <row r="410" spans="1:29" x14ac:dyDescent="0.25">
      <c r="A410" t="str">
        <f>"Raman_"&amp;E410&amp;"_"&amp;B410&amp;"_"&amp;AC410&amp;"_"&amp;TEXT(F410, "000")&amp;"_"&amp;TEXT(G410, "000")&amp;"_"&amp;H410&amp;".csv"</f>
        <v>Raman_EG_Pavlovagyrans_raw_002_008_B8.csv</v>
      </c>
      <c r="B410" t="s">
        <v>255</v>
      </c>
      <c r="C410" t="s">
        <v>30</v>
      </c>
      <c r="D410" t="s">
        <v>30</v>
      </c>
      <c r="E410" t="s">
        <v>31</v>
      </c>
      <c r="F410">
        <v>2</v>
      </c>
      <c r="G410">
        <v>8</v>
      </c>
      <c r="H410" t="s">
        <v>51</v>
      </c>
      <c r="I410" t="s">
        <v>256</v>
      </c>
      <c r="J410" t="s">
        <v>34</v>
      </c>
      <c r="L410" t="s">
        <v>30</v>
      </c>
      <c r="M410">
        <v>22</v>
      </c>
      <c r="N410" t="s">
        <v>94</v>
      </c>
      <c r="O410" t="s">
        <v>245</v>
      </c>
      <c r="P410">
        <v>336</v>
      </c>
      <c r="Q410">
        <v>50</v>
      </c>
      <c r="R410" t="s">
        <v>36</v>
      </c>
      <c r="S410">
        <v>12</v>
      </c>
      <c r="T410">
        <v>12</v>
      </c>
      <c r="U410" t="s">
        <v>112</v>
      </c>
      <c r="V410" t="s">
        <v>37</v>
      </c>
      <c r="W410">
        <v>450</v>
      </c>
      <c r="X410">
        <v>532</v>
      </c>
      <c r="Y410">
        <v>8.3000000000000007</v>
      </c>
      <c r="Z410">
        <v>500</v>
      </c>
      <c r="AA410">
        <v>2000</v>
      </c>
      <c r="AB410">
        <v>50</v>
      </c>
      <c r="AC410" t="s">
        <v>40</v>
      </c>
    </row>
    <row r="411" spans="1:29" x14ac:dyDescent="0.25">
      <c r="A411" t="str">
        <f>"Raman_"&amp;E411&amp;"_"&amp;B411&amp;"_"&amp;AC411&amp;"_"&amp;TEXT(F411, "000")&amp;"_"&amp;TEXT(G411, "000")&amp;"_"&amp;H411&amp;".csv"</f>
        <v>Raman_EG_Pavlovagyrans_raw_002_008_B9.csv</v>
      </c>
      <c r="B411" t="s">
        <v>255</v>
      </c>
      <c r="C411" t="s">
        <v>30</v>
      </c>
      <c r="D411" t="s">
        <v>30</v>
      </c>
      <c r="E411" t="s">
        <v>31</v>
      </c>
      <c r="F411">
        <v>2</v>
      </c>
      <c r="G411">
        <v>8</v>
      </c>
      <c r="H411" t="s">
        <v>53</v>
      </c>
      <c r="I411" t="s">
        <v>256</v>
      </c>
      <c r="J411" t="s">
        <v>34</v>
      </c>
      <c r="L411" t="s">
        <v>30</v>
      </c>
      <c r="M411">
        <v>22</v>
      </c>
      <c r="N411" t="s">
        <v>56</v>
      </c>
      <c r="O411" t="s">
        <v>245</v>
      </c>
      <c r="P411">
        <v>336</v>
      </c>
      <c r="Q411">
        <v>50</v>
      </c>
      <c r="R411" t="s">
        <v>36</v>
      </c>
      <c r="S411">
        <v>12</v>
      </c>
      <c r="T411">
        <v>12</v>
      </c>
      <c r="U411" t="s">
        <v>112</v>
      </c>
      <c r="V411" t="s">
        <v>37</v>
      </c>
      <c r="W411">
        <v>450</v>
      </c>
      <c r="X411">
        <v>532</v>
      </c>
      <c r="Y411">
        <v>8.3000000000000007</v>
      </c>
      <c r="Z411">
        <v>500</v>
      </c>
      <c r="AA411">
        <v>2000</v>
      </c>
      <c r="AB411">
        <v>50</v>
      </c>
      <c r="AC411" t="s">
        <v>40</v>
      </c>
    </row>
    <row r="412" spans="1:29" x14ac:dyDescent="0.25">
      <c r="A412" t="str">
        <f>"Raman_"&amp;E412&amp;"_"&amp;B412&amp;"_"&amp;AC412&amp;"_"&amp;TEXT(F412, "000")&amp;"_"&amp;TEXT(G412, "000")&amp;"_"&amp;H412&amp;".csv"</f>
        <v>Raman_EG_Pavlovagyrans_raw_002_008_B10.csv</v>
      </c>
      <c r="B412" t="s">
        <v>255</v>
      </c>
      <c r="C412" t="s">
        <v>30</v>
      </c>
      <c r="D412" t="s">
        <v>30</v>
      </c>
      <c r="E412" t="s">
        <v>31</v>
      </c>
      <c r="F412">
        <v>2</v>
      </c>
      <c r="G412">
        <v>8</v>
      </c>
      <c r="H412" t="s">
        <v>55</v>
      </c>
      <c r="I412" t="s">
        <v>256</v>
      </c>
      <c r="J412" t="s">
        <v>34</v>
      </c>
      <c r="L412" t="s">
        <v>30</v>
      </c>
      <c r="M412">
        <v>22</v>
      </c>
      <c r="N412" t="s">
        <v>96</v>
      </c>
      <c r="O412" t="s">
        <v>245</v>
      </c>
      <c r="P412">
        <v>336</v>
      </c>
      <c r="Q412">
        <v>50</v>
      </c>
      <c r="R412" t="s">
        <v>36</v>
      </c>
      <c r="S412">
        <v>12</v>
      </c>
      <c r="T412">
        <v>12</v>
      </c>
      <c r="U412" t="s">
        <v>112</v>
      </c>
      <c r="V412" t="s">
        <v>37</v>
      </c>
      <c r="W412">
        <v>450</v>
      </c>
      <c r="X412">
        <v>532</v>
      </c>
      <c r="Y412">
        <v>8.3000000000000007</v>
      </c>
      <c r="Z412">
        <v>500</v>
      </c>
      <c r="AA412">
        <v>2000</v>
      </c>
      <c r="AB412">
        <v>50</v>
      </c>
      <c r="AC412" t="s">
        <v>40</v>
      </c>
    </row>
    <row r="413" spans="1:29" x14ac:dyDescent="0.25">
      <c r="A413" t="str">
        <f>"Raman_"&amp;E413&amp;"_"&amp;B413&amp;"_"&amp;AC413&amp;"_"&amp;TEXT(F413, "000")&amp;"_"&amp;TEXT(G413, "000")&amp;"_"&amp;H413&amp;".csv"</f>
        <v>Raman_EG_Pavlovagyrans_raw_002_008_B11.csv</v>
      </c>
      <c r="B413" t="s">
        <v>255</v>
      </c>
      <c r="C413" t="s">
        <v>30</v>
      </c>
      <c r="D413" t="s">
        <v>30</v>
      </c>
      <c r="E413" t="s">
        <v>31</v>
      </c>
      <c r="F413">
        <v>2</v>
      </c>
      <c r="G413">
        <v>8</v>
      </c>
      <c r="H413" t="s">
        <v>57</v>
      </c>
      <c r="I413" t="s">
        <v>256</v>
      </c>
      <c r="J413" t="s">
        <v>34</v>
      </c>
      <c r="L413" t="s">
        <v>30</v>
      </c>
      <c r="M413">
        <v>22</v>
      </c>
      <c r="N413" t="s">
        <v>58</v>
      </c>
      <c r="O413" t="s">
        <v>245</v>
      </c>
      <c r="P413">
        <v>336</v>
      </c>
      <c r="Q413">
        <v>50</v>
      </c>
      <c r="R413" t="s">
        <v>36</v>
      </c>
      <c r="S413">
        <v>12</v>
      </c>
      <c r="T413">
        <v>12</v>
      </c>
      <c r="U413" t="s">
        <v>112</v>
      </c>
      <c r="V413" t="s">
        <v>37</v>
      </c>
      <c r="W413">
        <v>450</v>
      </c>
      <c r="X413">
        <v>532</v>
      </c>
      <c r="Y413">
        <v>8.3000000000000007</v>
      </c>
      <c r="Z413">
        <v>500</v>
      </c>
      <c r="AA413">
        <v>2000</v>
      </c>
      <c r="AB413">
        <v>50</v>
      </c>
      <c r="AC413" t="s">
        <v>40</v>
      </c>
    </row>
    <row r="414" spans="1:29" x14ac:dyDescent="0.25">
      <c r="A414" t="str">
        <f>"Raman_"&amp;E414&amp;"_"&amp;B414&amp;"_"&amp;AC414&amp;"_"&amp;TEXT(F414, "000")&amp;"_"&amp;TEXT(G414, "000")&amp;"_"&amp;H414&amp;".csv"</f>
        <v>Raman_EG_Pavlovagyrans_raw_002_008_C1.csv</v>
      </c>
      <c r="B414" t="s">
        <v>255</v>
      </c>
      <c r="C414" t="s">
        <v>30</v>
      </c>
      <c r="D414" t="s">
        <v>30</v>
      </c>
      <c r="E414" t="s">
        <v>31</v>
      </c>
      <c r="F414">
        <v>2</v>
      </c>
      <c r="G414">
        <v>8</v>
      </c>
      <c r="H414" t="s">
        <v>137</v>
      </c>
      <c r="I414" t="s">
        <v>256</v>
      </c>
      <c r="J414" t="s">
        <v>34</v>
      </c>
      <c r="L414" t="s">
        <v>30</v>
      </c>
      <c r="M414">
        <v>22</v>
      </c>
      <c r="N414" t="s">
        <v>48</v>
      </c>
      <c r="O414" t="s">
        <v>245</v>
      </c>
      <c r="P414">
        <v>336</v>
      </c>
      <c r="Q414">
        <v>50</v>
      </c>
      <c r="R414" t="s">
        <v>36</v>
      </c>
      <c r="S414">
        <v>12</v>
      </c>
      <c r="T414">
        <v>12</v>
      </c>
      <c r="U414" t="s">
        <v>112</v>
      </c>
      <c r="V414" t="s">
        <v>37</v>
      </c>
      <c r="W414">
        <v>450</v>
      </c>
      <c r="X414">
        <v>532</v>
      </c>
      <c r="Y414">
        <v>8.3000000000000007</v>
      </c>
      <c r="Z414">
        <v>500</v>
      </c>
      <c r="AA414">
        <v>2000</v>
      </c>
      <c r="AB414">
        <v>50</v>
      </c>
      <c r="AC414" t="s">
        <v>40</v>
      </c>
    </row>
    <row r="415" spans="1:29" x14ac:dyDescent="0.25">
      <c r="A415" t="str">
        <f>"Raman_"&amp;E415&amp;"_"&amp;B415&amp;"_"&amp;AC415&amp;"_"&amp;TEXT(F415, "000")&amp;"_"&amp;TEXT(G415, "000")&amp;"_"&amp;H415&amp;".csv"</f>
        <v>Raman_EG_Pavlovagyrans_raw_002_008_C2.csv</v>
      </c>
      <c r="B415" t="s">
        <v>255</v>
      </c>
      <c r="C415" t="s">
        <v>30</v>
      </c>
      <c r="D415" t="s">
        <v>30</v>
      </c>
      <c r="E415" t="s">
        <v>31</v>
      </c>
      <c r="F415">
        <v>2</v>
      </c>
      <c r="G415">
        <v>8</v>
      </c>
      <c r="H415" t="s">
        <v>59</v>
      </c>
      <c r="I415" t="s">
        <v>256</v>
      </c>
      <c r="J415" t="s">
        <v>34</v>
      </c>
      <c r="L415" t="s">
        <v>30</v>
      </c>
      <c r="M415">
        <v>22</v>
      </c>
      <c r="N415" t="s">
        <v>88</v>
      </c>
      <c r="O415" t="s">
        <v>245</v>
      </c>
      <c r="P415">
        <v>336</v>
      </c>
      <c r="Q415">
        <v>50</v>
      </c>
      <c r="R415" t="s">
        <v>36</v>
      </c>
      <c r="S415">
        <v>12</v>
      </c>
      <c r="T415">
        <v>12</v>
      </c>
      <c r="U415" t="s">
        <v>112</v>
      </c>
      <c r="V415" t="s">
        <v>37</v>
      </c>
      <c r="W415">
        <v>450</v>
      </c>
      <c r="X415">
        <v>532</v>
      </c>
      <c r="Y415">
        <v>8.3000000000000007</v>
      </c>
      <c r="Z415">
        <v>500</v>
      </c>
      <c r="AA415">
        <v>2000</v>
      </c>
      <c r="AB415">
        <v>50</v>
      </c>
      <c r="AC415" t="s">
        <v>40</v>
      </c>
    </row>
    <row r="416" spans="1:29" x14ac:dyDescent="0.25">
      <c r="A416" t="str">
        <f>"Raman_"&amp;E416&amp;"_"&amp;B416&amp;"_"&amp;AC416&amp;"_"&amp;TEXT(F416, "000")&amp;"_"&amp;TEXT(G416, "000")&amp;"_"&amp;H416&amp;".csv"</f>
        <v>Raman_EG_Pavlovagyrans_raw_002_008_C3.csv</v>
      </c>
      <c r="B416" t="s">
        <v>255</v>
      </c>
      <c r="C416" t="s">
        <v>30</v>
      </c>
      <c r="D416" t="s">
        <v>30</v>
      </c>
      <c r="E416" t="s">
        <v>31</v>
      </c>
      <c r="F416">
        <v>2</v>
      </c>
      <c r="G416">
        <v>8</v>
      </c>
      <c r="H416" t="s">
        <v>60</v>
      </c>
      <c r="I416" t="s">
        <v>256</v>
      </c>
      <c r="J416" t="s">
        <v>34</v>
      </c>
      <c r="L416" t="s">
        <v>30</v>
      </c>
      <c r="M416">
        <v>22</v>
      </c>
      <c r="N416" t="s">
        <v>50</v>
      </c>
      <c r="O416" t="s">
        <v>245</v>
      </c>
      <c r="P416">
        <v>336</v>
      </c>
      <c r="Q416">
        <v>50</v>
      </c>
      <c r="R416" t="s">
        <v>36</v>
      </c>
      <c r="S416">
        <v>12</v>
      </c>
      <c r="T416">
        <v>12</v>
      </c>
      <c r="U416" t="s">
        <v>112</v>
      </c>
      <c r="V416" t="s">
        <v>37</v>
      </c>
      <c r="W416">
        <v>450</v>
      </c>
      <c r="X416">
        <v>532</v>
      </c>
      <c r="Y416">
        <v>8.3000000000000007</v>
      </c>
      <c r="Z416">
        <v>500</v>
      </c>
      <c r="AA416">
        <v>2000</v>
      </c>
      <c r="AB416">
        <v>50</v>
      </c>
      <c r="AC416" t="s">
        <v>40</v>
      </c>
    </row>
    <row r="417" spans="1:29" x14ac:dyDescent="0.25">
      <c r="A417" t="str">
        <f>"Raman_"&amp;E417&amp;"_"&amp;B417&amp;"_"&amp;AC417&amp;"_"&amp;TEXT(F417, "000")&amp;"_"&amp;TEXT(G417, "000")&amp;"_"&amp;H417&amp;".csv"</f>
        <v>Raman_EG_Pavlovagyrans_raw_002_008_C4.csv</v>
      </c>
      <c r="B417" t="s">
        <v>255</v>
      </c>
      <c r="C417" t="s">
        <v>30</v>
      </c>
      <c r="D417" t="s">
        <v>30</v>
      </c>
      <c r="E417" t="s">
        <v>31</v>
      </c>
      <c r="F417">
        <v>2</v>
      </c>
      <c r="G417">
        <v>8</v>
      </c>
      <c r="H417" t="s">
        <v>61</v>
      </c>
      <c r="I417" t="s">
        <v>256</v>
      </c>
      <c r="J417" t="s">
        <v>34</v>
      </c>
      <c r="L417" t="s">
        <v>30</v>
      </c>
      <c r="M417">
        <v>22</v>
      </c>
      <c r="N417" t="s">
        <v>90</v>
      </c>
      <c r="O417" t="s">
        <v>245</v>
      </c>
      <c r="P417">
        <v>336</v>
      </c>
      <c r="Q417">
        <v>50</v>
      </c>
      <c r="R417" t="s">
        <v>36</v>
      </c>
      <c r="S417">
        <v>12</v>
      </c>
      <c r="T417">
        <v>12</v>
      </c>
      <c r="U417" t="s">
        <v>112</v>
      </c>
      <c r="V417" t="s">
        <v>37</v>
      </c>
      <c r="W417">
        <v>450</v>
      </c>
      <c r="X417">
        <v>532</v>
      </c>
      <c r="Y417">
        <v>8.3000000000000007</v>
      </c>
      <c r="Z417">
        <v>500</v>
      </c>
      <c r="AA417">
        <v>2000</v>
      </c>
      <c r="AB417">
        <v>50</v>
      </c>
      <c r="AC417" t="s">
        <v>40</v>
      </c>
    </row>
    <row r="418" spans="1:29" x14ac:dyDescent="0.25">
      <c r="A418" t="str">
        <f>"Raman_"&amp;E418&amp;"_"&amp;B418&amp;"_"&amp;AC418&amp;"_"&amp;TEXT(F418, "000")&amp;"_"&amp;TEXT(G418, "000")&amp;"_"&amp;H418&amp;".csv"</f>
        <v>Raman_EG_Pavlovagyrans_raw_002_008_C5.csv</v>
      </c>
      <c r="B418" t="s">
        <v>255</v>
      </c>
      <c r="C418" t="s">
        <v>30</v>
      </c>
      <c r="D418" t="s">
        <v>30</v>
      </c>
      <c r="E418" t="s">
        <v>31</v>
      </c>
      <c r="F418">
        <v>2</v>
      </c>
      <c r="G418">
        <v>8</v>
      </c>
      <c r="H418" t="s">
        <v>62</v>
      </c>
      <c r="I418" t="s">
        <v>256</v>
      </c>
      <c r="J418" t="s">
        <v>34</v>
      </c>
      <c r="L418" t="s">
        <v>30</v>
      </c>
      <c r="M418">
        <v>22</v>
      </c>
      <c r="N418" t="s">
        <v>52</v>
      </c>
      <c r="O418" t="s">
        <v>245</v>
      </c>
      <c r="P418">
        <v>336</v>
      </c>
      <c r="Q418">
        <v>50</v>
      </c>
      <c r="R418" t="s">
        <v>36</v>
      </c>
      <c r="S418">
        <v>12</v>
      </c>
      <c r="T418">
        <v>12</v>
      </c>
      <c r="U418" t="s">
        <v>112</v>
      </c>
      <c r="V418" t="s">
        <v>37</v>
      </c>
      <c r="W418">
        <v>450</v>
      </c>
      <c r="X418">
        <v>532</v>
      </c>
      <c r="Y418">
        <v>8.3000000000000007</v>
      </c>
      <c r="Z418">
        <v>500</v>
      </c>
      <c r="AA418">
        <v>2000</v>
      </c>
      <c r="AB418">
        <v>50</v>
      </c>
      <c r="AC418" t="s">
        <v>40</v>
      </c>
    </row>
    <row r="419" spans="1:29" x14ac:dyDescent="0.25">
      <c r="A419" t="str">
        <f>"Raman_"&amp;E419&amp;"_"&amp;B419&amp;"_"&amp;AC419&amp;"_"&amp;TEXT(F419, "000")&amp;"_"&amp;TEXT(G419, "000")&amp;"_"&amp;H419&amp;".csv"</f>
        <v>Raman_EG_Pavlovagyrans_raw_002_008_C6.csv</v>
      </c>
      <c r="B419" t="s">
        <v>255</v>
      </c>
      <c r="C419" t="s">
        <v>30</v>
      </c>
      <c r="D419" t="s">
        <v>30</v>
      </c>
      <c r="E419" t="s">
        <v>31</v>
      </c>
      <c r="F419">
        <v>2</v>
      </c>
      <c r="G419">
        <v>8</v>
      </c>
      <c r="H419" t="s">
        <v>63</v>
      </c>
      <c r="I419" t="s">
        <v>256</v>
      </c>
      <c r="J419" t="s">
        <v>34</v>
      </c>
      <c r="L419" t="s">
        <v>30</v>
      </c>
      <c r="M419">
        <v>22</v>
      </c>
      <c r="N419" t="s">
        <v>92</v>
      </c>
      <c r="O419" t="s">
        <v>245</v>
      </c>
      <c r="P419">
        <v>336</v>
      </c>
      <c r="Q419">
        <v>50</v>
      </c>
      <c r="R419" t="s">
        <v>36</v>
      </c>
      <c r="S419">
        <v>12</v>
      </c>
      <c r="T419">
        <v>12</v>
      </c>
      <c r="U419" t="s">
        <v>112</v>
      </c>
      <c r="V419" t="s">
        <v>37</v>
      </c>
      <c r="W419">
        <v>450</v>
      </c>
      <c r="X419">
        <v>532</v>
      </c>
      <c r="Y419">
        <v>8.3000000000000007</v>
      </c>
      <c r="Z419">
        <v>500</v>
      </c>
      <c r="AA419">
        <v>2000</v>
      </c>
      <c r="AB419">
        <v>50</v>
      </c>
      <c r="AC419" t="s">
        <v>40</v>
      </c>
    </row>
    <row r="420" spans="1:29" x14ac:dyDescent="0.25">
      <c r="A420" t="str">
        <f>"Raman_"&amp;E420&amp;"_"&amp;B420&amp;"_"&amp;AC420&amp;"_"&amp;TEXT(F420, "000")&amp;"_"&amp;TEXT(G420, "000")&amp;"_"&amp;H420&amp;".csv"</f>
        <v>Raman_EG_Pavlovagyrans_raw_002_008_C7.csv</v>
      </c>
      <c r="B420" t="s">
        <v>255</v>
      </c>
      <c r="C420" t="s">
        <v>30</v>
      </c>
      <c r="D420" t="s">
        <v>30</v>
      </c>
      <c r="E420" t="s">
        <v>31</v>
      </c>
      <c r="F420">
        <v>2</v>
      </c>
      <c r="G420">
        <v>8</v>
      </c>
      <c r="H420" t="s">
        <v>64</v>
      </c>
      <c r="I420" t="s">
        <v>256</v>
      </c>
      <c r="J420" t="s">
        <v>34</v>
      </c>
      <c r="L420" t="s">
        <v>30</v>
      </c>
      <c r="M420">
        <v>22</v>
      </c>
      <c r="N420" t="s">
        <v>54</v>
      </c>
      <c r="O420" t="s">
        <v>245</v>
      </c>
      <c r="P420">
        <v>336</v>
      </c>
      <c r="Q420">
        <v>50</v>
      </c>
      <c r="R420" t="s">
        <v>36</v>
      </c>
      <c r="S420">
        <v>12</v>
      </c>
      <c r="T420">
        <v>12</v>
      </c>
      <c r="U420" t="s">
        <v>112</v>
      </c>
      <c r="V420" t="s">
        <v>37</v>
      </c>
      <c r="W420">
        <v>450</v>
      </c>
      <c r="X420">
        <v>532</v>
      </c>
      <c r="Y420">
        <v>8.3000000000000007</v>
      </c>
      <c r="Z420">
        <v>500</v>
      </c>
      <c r="AA420">
        <v>2000</v>
      </c>
      <c r="AB420">
        <v>50</v>
      </c>
      <c r="AC420" t="s">
        <v>40</v>
      </c>
    </row>
    <row r="421" spans="1:29" x14ac:dyDescent="0.25">
      <c r="A421" t="str">
        <f>"Raman_"&amp;E421&amp;"_"&amp;B421&amp;"_"&amp;AC421&amp;"_"&amp;TEXT(F421, "000")&amp;"_"&amp;TEXT(G421, "000")&amp;"_"&amp;H421&amp;".csv"</f>
        <v>Raman_EG_Pavlovagyrans_raw_002_008_C8.csv</v>
      </c>
      <c r="B421" t="s">
        <v>255</v>
      </c>
      <c r="C421" t="s">
        <v>30</v>
      </c>
      <c r="D421" t="s">
        <v>30</v>
      </c>
      <c r="E421" t="s">
        <v>31</v>
      </c>
      <c r="F421">
        <v>2</v>
      </c>
      <c r="G421">
        <v>8</v>
      </c>
      <c r="H421" t="s">
        <v>65</v>
      </c>
      <c r="I421" t="s">
        <v>256</v>
      </c>
      <c r="J421" t="s">
        <v>34</v>
      </c>
      <c r="L421" t="s">
        <v>30</v>
      </c>
      <c r="M421">
        <v>22</v>
      </c>
      <c r="N421" t="s">
        <v>94</v>
      </c>
      <c r="O421" t="s">
        <v>245</v>
      </c>
      <c r="P421">
        <v>336</v>
      </c>
      <c r="Q421">
        <v>50</v>
      </c>
      <c r="R421" t="s">
        <v>36</v>
      </c>
      <c r="S421">
        <v>12</v>
      </c>
      <c r="T421">
        <v>12</v>
      </c>
      <c r="U421" t="s">
        <v>112</v>
      </c>
      <c r="V421" t="s">
        <v>37</v>
      </c>
      <c r="W421">
        <v>450</v>
      </c>
      <c r="X421">
        <v>532</v>
      </c>
      <c r="Y421">
        <v>8.3000000000000007</v>
      </c>
      <c r="Z421">
        <v>500</v>
      </c>
      <c r="AA421">
        <v>2000</v>
      </c>
      <c r="AB421">
        <v>50</v>
      </c>
      <c r="AC421" t="s">
        <v>40</v>
      </c>
    </row>
    <row r="422" spans="1:29" x14ac:dyDescent="0.25">
      <c r="A422" t="str">
        <f>"Raman_"&amp;E422&amp;"_"&amp;B422&amp;"_"&amp;AC422&amp;"_"&amp;TEXT(F422, "000")&amp;"_"&amp;TEXT(G422, "000")&amp;"_"&amp;H422&amp;".csv"</f>
        <v>Raman_EG_Pavlovagyrans_raw_002_008_C9.csv</v>
      </c>
      <c r="B422" t="s">
        <v>255</v>
      </c>
      <c r="C422" t="s">
        <v>30</v>
      </c>
      <c r="D422" t="s">
        <v>30</v>
      </c>
      <c r="E422" t="s">
        <v>31</v>
      </c>
      <c r="F422">
        <v>2</v>
      </c>
      <c r="G422">
        <v>8</v>
      </c>
      <c r="H422" t="s">
        <v>66</v>
      </c>
      <c r="I422" t="s">
        <v>256</v>
      </c>
      <c r="J422" t="s">
        <v>34</v>
      </c>
      <c r="L422" t="s">
        <v>30</v>
      </c>
      <c r="M422">
        <v>22</v>
      </c>
      <c r="N422" t="s">
        <v>56</v>
      </c>
      <c r="O422" t="s">
        <v>245</v>
      </c>
      <c r="P422">
        <v>336</v>
      </c>
      <c r="Q422">
        <v>50</v>
      </c>
      <c r="R422" t="s">
        <v>36</v>
      </c>
      <c r="S422">
        <v>12</v>
      </c>
      <c r="T422">
        <v>12</v>
      </c>
      <c r="U422" t="s">
        <v>112</v>
      </c>
      <c r="V422" t="s">
        <v>37</v>
      </c>
      <c r="W422">
        <v>450</v>
      </c>
      <c r="X422">
        <v>532</v>
      </c>
      <c r="Y422">
        <v>8.3000000000000007</v>
      </c>
      <c r="Z422">
        <v>500</v>
      </c>
      <c r="AA422">
        <v>2000</v>
      </c>
      <c r="AB422">
        <v>50</v>
      </c>
      <c r="AC422" t="s">
        <v>40</v>
      </c>
    </row>
    <row r="423" spans="1:29" x14ac:dyDescent="0.25">
      <c r="A423" t="str">
        <f>"Raman_"&amp;E423&amp;"_"&amp;B423&amp;"_"&amp;AC423&amp;"_"&amp;TEXT(F423, "000")&amp;"_"&amp;TEXT(G423, "000")&amp;"_"&amp;H423&amp;".csv"</f>
        <v>Raman_EG_Pavlovagyrans_raw_002_008_C10.csv</v>
      </c>
      <c r="B423" t="s">
        <v>255</v>
      </c>
      <c r="C423" t="s">
        <v>30</v>
      </c>
      <c r="D423" t="s">
        <v>30</v>
      </c>
      <c r="E423" t="s">
        <v>31</v>
      </c>
      <c r="F423">
        <v>2</v>
      </c>
      <c r="G423">
        <v>8</v>
      </c>
      <c r="H423" t="s">
        <v>67</v>
      </c>
      <c r="I423" t="s">
        <v>256</v>
      </c>
      <c r="J423" t="s">
        <v>34</v>
      </c>
      <c r="L423" t="s">
        <v>30</v>
      </c>
      <c r="M423">
        <v>22</v>
      </c>
      <c r="N423" t="s">
        <v>96</v>
      </c>
      <c r="O423" t="s">
        <v>245</v>
      </c>
      <c r="P423">
        <v>336</v>
      </c>
      <c r="Q423">
        <v>50</v>
      </c>
      <c r="R423" t="s">
        <v>36</v>
      </c>
      <c r="S423">
        <v>12</v>
      </c>
      <c r="T423">
        <v>12</v>
      </c>
      <c r="U423" t="s">
        <v>112</v>
      </c>
      <c r="V423" t="s">
        <v>37</v>
      </c>
      <c r="W423">
        <v>450</v>
      </c>
      <c r="X423">
        <v>532</v>
      </c>
      <c r="Y423">
        <v>8.3000000000000007</v>
      </c>
      <c r="Z423">
        <v>500</v>
      </c>
      <c r="AA423">
        <v>2000</v>
      </c>
      <c r="AB423">
        <v>50</v>
      </c>
      <c r="AC423" t="s">
        <v>40</v>
      </c>
    </row>
    <row r="424" spans="1:29" x14ac:dyDescent="0.25">
      <c r="A424" t="str">
        <f>"Raman_"&amp;E424&amp;"_"&amp;B424&amp;"_"&amp;AC424&amp;"_"&amp;TEXT(F424, "000")&amp;"_"&amp;TEXT(G424, "000")&amp;"_"&amp;H424&amp;".csv"</f>
        <v>Raman_EG_Pavlovagyrans_raw_002_008_C11.csv</v>
      </c>
      <c r="B424" t="s">
        <v>255</v>
      </c>
      <c r="C424" t="s">
        <v>30</v>
      </c>
      <c r="D424" t="s">
        <v>30</v>
      </c>
      <c r="E424" t="s">
        <v>31</v>
      </c>
      <c r="F424">
        <v>2</v>
      </c>
      <c r="G424">
        <v>8</v>
      </c>
      <c r="H424" t="s">
        <v>68</v>
      </c>
      <c r="I424" t="s">
        <v>256</v>
      </c>
      <c r="J424" t="s">
        <v>34</v>
      </c>
      <c r="L424" t="s">
        <v>30</v>
      </c>
      <c r="M424">
        <v>22</v>
      </c>
      <c r="N424" t="s">
        <v>58</v>
      </c>
      <c r="O424" t="s">
        <v>245</v>
      </c>
      <c r="P424">
        <v>336</v>
      </c>
      <c r="Q424">
        <v>50</v>
      </c>
      <c r="R424" t="s">
        <v>36</v>
      </c>
      <c r="S424">
        <v>12</v>
      </c>
      <c r="T424">
        <v>12</v>
      </c>
      <c r="U424" t="s">
        <v>112</v>
      </c>
      <c r="V424" t="s">
        <v>37</v>
      </c>
      <c r="W424">
        <v>450</v>
      </c>
      <c r="X424">
        <v>532</v>
      </c>
      <c r="Y424">
        <v>8.3000000000000007</v>
      </c>
      <c r="Z424">
        <v>500</v>
      </c>
      <c r="AA424">
        <v>2000</v>
      </c>
      <c r="AB424">
        <v>50</v>
      </c>
      <c r="AC424" t="s">
        <v>40</v>
      </c>
    </row>
    <row r="425" spans="1:29" x14ac:dyDescent="0.25">
      <c r="A425" t="str">
        <f>"Raman_"&amp;E425&amp;"_"&amp;B425&amp;"_"&amp;AC425&amp;"_"&amp;TEXT(F425, "000")&amp;"_"&amp;TEXT(G425, "000")&amp;"_"&amp;H425&amp;".csv"</f>
        <v>Raman_EG_Pavlovagyrans_raw_002_008_D1.csv</v>
      </c>
      <c r="B425" t="s">
        <v>255</v>
      </c>
      <c r="C425" t="s">
        <v>30</v>
      </c>
      <c r="D425" t="s">
        <v>30</v>
      </c>
      <c r="E425" t="s">
        <v>31</v>
      </c>
      <c r="F425">
        <v>2</v>
      </c>
      <c r="G425">
        <v>8</v>
      </c>
      <c r="H425" t="s">
        <v>146</v>
      </c>
      <c r="I425" t="s">
        <v>256</v>
      </c>
      <c r="J425" t="s">
        <v>34</v>
      </c>
      <c r="L425" t="s">
        <v>30</v>
      </c>
      <c r="M425">
        <v>22</v>
      </c>
      <c r="N425" t="s">
        <v>48</v>
      </c>
      <c r="O425" t="s">
        <v>245</v>
      </c>
      <c r="P425">
        <v>336</v>
      </c>
      <c r="Q425">
        <v>50</v>
      </c>
      <c r="R425" t="s">
        <v>36</v>
      </c>
      <c r="S425">
        <v>12</v>
      </c>
      <c r="T425">
        <v>12</v>
      </c>
      <c r="U425" t="s">
        <v>112</v>
      </c>
      <c r="V425" t="s">
        <v>37</v>
      </c>
      <c r="W425">
        <v>450</v>
      </c>
      <c r="X425">
        <v>532</v>
      </c>
      <c r="Y425">
        <v>8.3000000000000007</v>
      </c>
      <c r="Z425">
        <v>500</v>
      </c>
      <c r="AA425">
        <v>2000</v>
      </c>
      <c r="AB425">
        <v>50</v>
      </c>
      <c r="AC425" t="s">
        <v>40</v>
      </c>
    </row>
    <row r="426" spans="1:29" x14ac:dyDescent="0.25">
      <c r="A426" t="str">
        <f>"Raman_"&amp;E426&amp;"_"&amp;B426&amp;"_"&amp;AC426&amp;"_"&amp;TEXT(F426, "000")&amp;"_"&amp;TEXT(G426, "000")&amp;"_"&amp;H426&amp;".csv"</f>
        <v>Raman_EG_Pavlovagyrans_raw_002_008_D2.csv</v>
      </c>
      <c r="B426" t="s">
        <v>255</v>
      </c>
      <c r="C426" t="s">
        <v>30</v>
      </c>
      <c r="D426" t="s">
        <v>30</v>
      </c>
      <c r="E426" t="s">
        <v>31</v>
      </c>
      <c r="F426">
        <v>2</v>
      </c>
      <c r="G426">
        <v>8</v>
      </c>
      <c r="H426" t="s">
        <v>69</v>
      </c>
      <c r="I426" t="s">
        <v>256</v>
      </c>
      <c r="J426" t="s">
        <v>34</v>
      </c>
      <c r="L426" t="s">
        <v>30</v>
      </c>
      <c r="M426">
        <v>22</v>
      </c>
      <c r="N426" t="s">
        <v>88</v>
      </c>
      <c r="O426" t="s">
        <v>245</v>
      </c>
      <c r="P426">
        <v>336</v>
      </c>
      <c r="Q426">
        <v>50</v>
      </c>
      <c r="R426" t="s">
        <v>36</v>
      </c>
      <c r="S426">
        <v>12</v>
      </c>
      <c r="T426">
        <v>12</v>
      </c>
      <c r="U426" t="s">
        <v>112</v>
      </c>
      <c r="V426" t="s">
        <v>37</v>
      </c>
      <c r="W426">
        <v>450</v>
      </c>
      <c r="X426">
        <v>532</v>
      </c>
      <c r="Y426">
        <v>8.3000000000000007</v>
      </c>
      <c r="Z426">
        <v>500</v>
      </c>
      <c r="AA426">
        <v>2000</v>
      </c>
      <c r="AB426">
        <v>50</v>
      </c>
      <c r="AC426" t="s">
        <v>40</v>
      </c>
    </row>
    <row r="427" spans="1:29" x14ac:dyDescent="0.25">
      <c r="A427" t="str">
        <f>"Raman_"&amp;E427&amp;"_"&amp;B427&amp;"_"&amp;AC427&amp;"_"&amp;TEXT(F427, "000")&amp;"_"&amp;TEXT(G427, "000")&amp;"_"&amp;H427&amp;".csv"</f>
        <v>Raman_EG_Pavlovagyrans_raw_002_008_D3.csv</v>
      </c>
      <c r="B427" t="s">
        <v>255</v>
      </c>
      <c r="C427" t="s">
        <v>30</v>
      </c>
      <c r="D427" t="s">
        <v>30</v>
      </c>
      <c r="E427" t="s">
        <v>31</v>
      </c>
      <c r="F427">
        <v>2</v>
      </c>
      <c r="G427">
        <v>8</v>
      </c>
      <c r="H427" t="s">
        <v>70</v>
      </c>
      <c r="I427" t="s">
        <v>256</v>
      </c>
      <c r="J427" t="s">
        <v>34</v>
      </c>
      <c r="L427" t="s">
        <v>30</v>
      </c>
      <c r="M427">
        <v>22</v>
      </c>
      <c r="N427" t="s">
        <v>50</v>
      </c>
      <c r="O427" t="s">
        <v>245</v>
      </c>
      <c r="P427">
        <v>336</v>
      </c>
      <c r="Q427">
        <v>50</v>
      </c>
      <c r="R427" t="s">
        <v>36</v>
      </c>
      <c r="S427">
        <v>12</v>
      </c>
      <c r="T427">
        <v>12</v>
      </c>
      <c r="U427" t="s">
        <v>112</v>
      </c>
      <c r="V427" t="s">
        <v>37</v>
      </c>
      <c r="W427">
        <v>450</v>
      </c>
      <c r="X427">
        <v>532</v>
      </c>
      <c r="Y427">
        <v>8.3000000000000007</v>
      </c>
      <c r="Z427">
        <v>500</v>
      </c>
      <c r="AA427">
        <v>2000</v>
      </c>
      <c r="AB427">
        <v>50</v>
      </c>
      <c r="AC427" t="s">
        <v>40</v>
      </c>
    </row>
    <row r="428" spans="1:29" x14ac:dyDescent="0.25">
      <c r="A428" t="str">
        <f>"Raman_"&amp;E428&amp;"_"&amp;B428&amp;"_"&amp;AC428&amp;"_"&amp;TEXT(F428, "000")&amp;"_"&amp;TEXT(G428, "000")&amp;"_"&amp;H428&amp;".csv"</f>
        <v>Raman_EG_Pavlovagyrans_raw_002_008_D4.csv</v>
      </c>
      <c r="B428" t="s">
        <v>255</v>
      </c>
      <c r="C428" t="s">
        <v>30</v>
      </c>
      <c r="D428" t="s">
        <v>30</v>
      </c>
      <c r="E428" t="s">
        <v>31</v>
      </c>
      <c r="F428">
        <v>2</v>
      </c>
      <c r="G428">
        <v>8</v>
      </c>
      <c r="H428" t="s">
        <v>71</v>
      </c>
      <c r="I428" t="s">
        <v>256</v>
      </c>
      <c r="J428" t="s">
        <v>34</v>
      </c>
      <c r="L428" t="s">
        <v>30</v>
      </c>
      <c r="M428">
        <v>22</v>
      </c>
      <c r="N428" t="s">
        <v>90</v>
      </c>
      <c r="O428" t="s">
        <v>245</v>
      </c>
      <c r="P428">
        <v>336</v>
      </c>
      <c r="Q428">
        <v>50</v>
      </c>
      <c r="R428" t="s">
        <v>36</v>
      </c>
      <c r="S428">
        <v>12</v>
      </c>
      <c r="T428">
        <v>12</v>
      </c>
      <c r="U428" t="s">
        <v>112</v>
      </c>
      <c r="V428" t="s">
        <v>37</v>
      </c>
      <c r="W428">
        <v>450</v>
      </c>
      <c r="X428">
        <v>532</v>
      </c>
      <c r="Y428">
        <v>8.3000000000000007</v>
      </c>
      <c r="Z428">
        <v>500</v>
      </c>
      <c r="AA428">
        <v>2000</v>
      </c>
      <c r="AB428">
        <v>50</v>
      </c>
      <c r="AC428" t="s">
        <v>40</v>
      </c>
    </row>
    <row r="429" spans="1:29" x14ac:dyDescent="0.25">
      <c r="A429" t="str">
        <f>"Raman_"&amp;E429&amp;"_"&amp;B429&amp;"_"&amp;AC429&amp;"_"&amp;TEXT(F429, "000")&amp;"_"&amp;TEXT(G429, "000")&amp;"_"&amp;H429&amp;".csv"</f>
        <v>Raman_EG_Pavlovagyrans_raw_002_008_D5.csv</v>
      </c>
      <c r="B429" t="s">
        <v>255</v>
      </c>
      <c r="C429" t="s">
        <v>30</v>
      </c>
      <c r="D429" t="s">
        <v>30</v>
      </c>
      <c r="E429" t="s">
        <v>31</v>
      </c>
      <c r="F429">
        <v>2</v>
      </c>
      <c r="G429">
        <v>8</v>
      </c>
      <c r="H429" t="s">
        <v>72</v>
      </c>
      <c r="I429" t="s">
        <v>256</v>
      </c>
      <c r="J429" t="s">
        <v>34</v>
      </c>
      <c r="L429" t="s">
        <v>30</v>
      </c>
      <c r="M429">
        <v>22</v>
      </c>
      <c r="N429" t="s">
        <v>52</v>
      </c>
      <c r="O429" t="s">
        <v>245</v>
      </c>
      <c r="P429">
        <v>336</v>
      </c>
      <c r="Q429">
        <v>50</v>
      </c>
      <c r="R429" t="s">
        <v>36</v>
      </c>
      <c r="S429">
        <v>12</v>
      </c>
      <c r="T429">
        <v>12</v>
      </c>
      <c r="U429" t="s">
        <v>112</v>
      </c>
      <c r="V429" t="s">
        <v>37</v>
      </c>
      <c r="W429">
        <v>450</v>
      </c>
      <c r="X429">
        <v>532</v>
      </c>
      <c r="Y429">
        <v>8.3000000000000007</v>
      </c>
      <c r="Z429">
        <v>500</v>
      </c>
      <c r="AA429">
        <v>2000</v>
      </c>
      <c r="AB429">
        <v>50</v>
      </c>
      <c r="AC429" t="s">
        <v>40</v>
      </c>
    </row>
    <row r="430" spans="1:29" x14ac:dyDescent="0.25">
      <c r="A430" t="str">
        <f>"Raman_"&amp;E430&amp;"_"&amp;B430&amp;"_"&amp;AC430&amp;"_"&amp;TEXT(F430, "000")&amp;"_"&amp;TEXT(G430, "000")&amp;"_"&amp;H430&amp;".csv"</f>
        <v>Raman_EG_Pavlovagyrans_raw_002_008_D6.csv</v>
      </c>
      <c r="B430" t="s">
        <v>255</v>
      </c>
      <c r="C430" t="s">
        <v>30</v>
      </c>
      <c r="D430" t="s">
        <v>30</v>
      </c>
      <c r="E430" t="s">
        <v>31</v>
      </c>
      <c r="F430">
        <v>2</v>
      </c>
      <c r="G430">
        <v>8</v>
      </c>
      <c r="H430" t="s">
        <v>73</v>
      </c>
      <c r="I430" t="s">
        <v>256</v>
      </c>
      <c r="J430" t="s">
        <v>34</v>
      </c>
      <c r="L430" t="s">
        <v>30</v>
      </c>
      <c r="M430">
        <v>22</v>
      </c>
      <c r="N430" t="s">
        <v>92</v>
      </c>
      <c r="O430" t="s">
        <v>245</v>
      </c>
      <c r="P430">
        <v>336</v>
      </c>
      <c r="Q430">
        <v>50</v>
      </c>
      <c r="R430" t="s">
        <v>36</v>
      </c>
      <c r="S430">
        <v>12</v>
      </c>
      <c r="T430">
        <v>12</v>
      </c>
      <c r="U430" t="s">
        <v>112</v>
      </c>
      <c r="V430" t="s">
        <v>37</v>
      </c>
      <c r="W430">
        <v>450</v>
      </c>
      <c r="X430">
        <v>532</v>
      </c>
      <c r="Y430">
        <v>8.3000000000000007</v>
      </c>
      <c r="Z430">
        <v>500</v>
      </c>
      <c r="AA430">
        <v>2000</v>
      </c>
      <c r="AB430">
        <v>50</v>
      </c>
      <c r="AC430" t="s">
        <v>40</v>
      </c>
    </row>
    <row r="431" spans="1:29" x14ac:dyDescent="0.25">
      <c r="A431" t="str">
        <f>"Raman_"&amp;E431&amp;"_"&amp;B431&amp;"_"&amp;AC431&amp;"_"&amp;TEXT(F431, "000")&amp;"_"&amp;TEXT(G431, "000")&amp;"_"&amp;H431&amp;".csv"</f>
        <v>Raman_EG_Pavlovagyrans_raw_002_008_D7.csv</v>
      </c>
      <c r="B431" t="s">
        <v>255</v>
      </c>
      <c r="C431" t="s">
        <v>30</v>
      </c>
      <c r="D431" t="s">
        <v>30</v>
      </c>
      <c r="E431" t="s">
        <v>31</v>
      </c>
      <c r="F431">
        <v>2</v>
      </c>
      <c r="G431">
        <v>8</v>
      </c>
      <c r="H431" t="s">
        <v>74</v>
      </c>
      <c r="I431" t="s">
        <v>256</v>
      </c>
      <c r="J431" t="s">
        <v>34</v>
      </c>
      <c r="L431" t="s">
        <v>30</v>
      </c>
      <c r="M431">
        <v>22</v>
      </c>
      <c r="N431" t="s">
        <v>54</v>
      </c>
      <c r="O431" t="s">
        <v>245</v>
      </c>
      <c r="P431">
        <v>336</v>
      </c>
      <c r="Q431">
        <v>50</v>
      </c>
      <c r="R431" t="s">
        <v>36</v>
      </c>
      <c r="S431">
        <v>12</v>
      </c>
      <c r="T431">
        <v>12</v>
      </c>
      <c r="U431" t="s">
        <v>112</v>
      </c>
      <c r="V431" t="s">
        <v>37</v>
      </c>
      <c r="W431">
        <v>450</v>
      </c>
      <c r="X431">
        <v>532</v>
      </c>
      <c r="Y431">
        <v>8.3000000000000007</v>
      </c>
      <c r="Z431">
        <v>500</v>
      </c>
      <c r="AA431">
        <v>2000</v>
      </c>
      <c r="AB431">
        <v>50</v>
      </c>
      <c r="AC431" t="s">
        <v>40</v>
      </c>
    </row>
    <row r="432" spans="1:29" x14ac:dyDescent="0.25">
      <c r="A432" t="str">
        <f>"Raman_"&amp;E432&amp;"_"&amp;B432&amp;"_"&amp;AC432&amp;"_"&amp;TEXT(F432, "000")&amp;"_"&amp;TEXT(G432, "000")&amp;"_"&amp;H432&amp;".csv"</f>
        <v>Raman_EG_Pavlovagyrans_raw_002_008_D8.csv</v>
      </c>
      <c r="B432" t="s">
        <v>255</v>
      </c>
      <c r="C432" t="s">
        <v>30</v>
      </c>
      <c r="D432" t="s">
        <v>30</v>
      </c>
      <c r="E432" t="s">
        <v>31</v>
      </c>
      <c r="F432">
        <v>2</v>
      </c>
      <c r="G432">
        <v>8</v>
      </c>
      <c r="H432" t="s">
        <v>75</v>
      </c>
      <c r="I432" t="s">
        <v>256</v>
      </c>
      <c r="J432" t="s">
        <v>34</v>
      </c>
      <c r="L432" t="s">
        <v>30</v>
      </c>
      <c r="M432">
        <v>22</v>
      </c>
      <c r="N432" t="s">
        <v>94</v>
      </c>
      <c r="O432" t="s">
        <v>245</v>
      </c>
      <c r="P432">
        <v>336</v>
      </c>
      <c r="Q432">
        <v>50</v>
      </c>
      <c r="R432" t="s">
        <v>36</v>
      </c>
      <c r="S432">
        <v>12</v>
      </c>
      <c r="T432">
        <v>12</v>
      </c>
      <c r="U432" t="s">
        <v>112</v>
      </c>
      <c r="V432" t="s">
        <v>37</v>
      </c>
      <c r="W432">
        <v>450</v>
      </c>
      <c r="X432">
        <v>532</v>
      </c>
      <c r="Y432">
        <v>8.3000000000000007</v>
      </c>
      <c r="Z432">
        <v>500</v>
      </c>
      <c r="AA432">
        <v>2000</v>
      </c>
      <c r="AB432">
        <v>50</v>
      </c>
      <c r="AC432" t="s">
        <v>40</v>
      </c>
    </row>
    <row r="433" spans="1:29" x14ac:dyDescent="0.25">
      <c r="A433" t="str">
        <f>"Raman_"&amp;E433&amp;"_"&amp;B433&amp;"_"&amp;AC433&amp;"_"&amp;TEXT(F433, "000")&amp;"_"&amp;TEXT(G433, "000")&amp;"_"&amp;H433&amp;".csv"</f>
        <v>Raman_EG_Pavlovagyrans_raw_002_008_D9.csv</v>
      </c>
      <c r="B433" t="s">
        <v>255</v>
      </c>
      <c r="C433" t="s">
        <v>30</v>
      </c>
      <c r="D433" t="s">
        <v>30</v>
      </c>
      <c r="E433" t="s">
        <v>31</v>
      </c>
      <c r="F433">
        <v>2</v>
      </c>
      <c r="G433">
        <v>8</v>
      </c>
      <c r="H433" t="s">
        <v>76</v>
      </c>
      <c r="I433" t="s">
        <v>256</v>
      </c>
      <c r="J433" t="s">
        <v>34</v>
      </c>
      <c r="L433" t="s">
        <v>30</v>
      </c>
      <c r="M433">
        <v>22</v>
      </c>
      <c r="N433" t="s">
        <v>56</v>
      </c>
      <c r="O433" t="s">
        <v>245</v>
      </c>
      <c r="P433">
        <v>336</v>
      </c>
      <c r="Q433">
        <v>50</v>
      </c>
      <c r="R433" t="s">
        <v>36</v>
      </c>
      <c r="S433">
        <v>12</v>
      </c>
      <c r="T433">
        <v>12</v>
      </c>
      <c r="U433" t="s">
        <v>112</v>
      </c>
      <c r="V433" t="s">
        <v>37</v>
      </c>
      <c r="W433">
        <v>450</v>
      </c>
      <c r="X433">
        <v>532</v>
      </c>
      <c r="Y433">
        <v>8.3000000000000007</v>
      </c>
      <c r="Z433">
        <v>500</v>
      </c>
      <c r="AA433">
        <v>2000</v>
      </c>
      <c r="AB433">
        <v>50</v>
      </c>
      <c r="AC433" t="s">
        <v>40</v>
      </c>
    </row>
    <row r="434" spans="1:29" x14ac:dyDescent="0.25">
      <c r="A434" t="str">
        <f>"Raman_"&amp;E434&amp;"_"&amp;B434&amp;"_"&amp;AC434&amp;"_"&amp;TEXT(F434, "000")&amp;"_"&amp;TEXT(G434, "000")&amp;"_"&amp;H434&amp;".csv"</f>
        <v>Raman_EG_Pavlovagyrans_raw_002_008_D10.csv</v>
      </c>
      <c r="B434" t="s">
        <v>255</v>
      </c>
      <c r="C434" t="s">
        <v>30</v>
      </c>
      <c r="D434" t="s">
        <v>30</v>
      </c>
      <c r="E434" t="s">
        <v>31</v>
      </c>
      <c r="F434">
        <v>2</v>
      </c>
      <c r="G434">
        <v>8</v>
      </c>
      <c r="H434" t="s">
        <v>77</v>
      </c>
      <c r="I434" t="s">
        <v>256</v>
      </c>
      <c r="J434" t="s">
        <v>34</v>
      </c>
      <c r="L434" t="s">
        <v>30</v>
      </c>
      <c r="M434">
        <v>22</v>
      </c>
      <c r="N434" t="s">
        <v>96</v>
      </c>
      <c r="O434" t="s">
        <v>245</v>
      </c>
      <c r="P434">
        <v>336</v>
      </c>
      <c r="Q434">
        <v>50</v>
      </c>
      <c r="R434" t="s">
        <v>36</v>
      </c>
      <c r="S434">
        <v>12</v>
      </c>
      <c r="T434">
        <v>12</v>
      </c>
      <c r="U434" t="s">
        <v>112</v>
      </c>
      <c r="V434" t="s">
        <v>37</v>
      </c>
      <c r="W434">
        <v>450</v>
      </c>
      <c r="X434">
        <v>532</v>
      </c>
      <c r="Y434">
        <v>8.3000000000000007</v>
      </c>
      <c r="Z434">
        <v>500</v>
      </c>
      <c r="AA434">
        <v>2000</v>
      </c>
      <c r="AB434">
        <v>50</v>
      </c>
      <c r="AC434" t="s">
        <v>40</v>
      </c>
    </row>
    <row r="435" spans="1:29" x14ac:dyDescent="0.25">
      <c r="A435" t="str">
        <f>"Raman_"&amp;E435&amp;"_"&amp;B435&amp;"_"&amp;AC435&amp;"_"&amp;TEXT(F435, "000")&amp;"_"&amp;TEXT(G435, "000")&amp;"_"&amp;H435&amp;".csv"</f>
        <v>Raman_EG_Pavlovagyrans_raw_002_008_D11.csv</v>
      </c>
      <c r="B435" t="s">
        <v>255</v>
      </c>
      <c r="C435" t="s">
        <v>30</v>
      </c>
      <c r="D435" t="s">
        <v>30</v>
      </c>
      <c r="E435" t="s">
        <v>31</v>
      </c>
      <c r="F435">
        <v>2</v>
      </c>
      <c r="G435">
        <v>8</v>
      </c>
      <c r="H435" t="s">
        <v>78</v>
      </c>
      <c r="I435" t="s">
        <v>256</v>
      </c>
      <c r="J435" t="s">
        <v>34</v>
      </c>
      <c r="L435" t="s">
        <v>30</v>
      </c>
      <c r="M435">
        <v>22</v>
      </c>
      <c r="N435" t="s">
        <v>58</v>
      </c>
      <c r="O435" t="s">
        <v>245</v>
      </c>
      <c r="P435">
        <v>336</v>
      </c>
      <c r="Q435">
        <v>50</v>
      </c>
      <c r="R435" t="s">
        <v>36</v>
      </c>
      <c r="S435">
        <v>12</v>
      </c>
      <c r="T435">
        <v>12</v>
      </c>
      <c r="U435" t="s">
        <v>112</v>
      </c>
      <c r="V435" t="s">
        <v>37</v>
      </c>
      <c r="W435">
        <v>450</v>
      </c>
      <c r="X435">
        <v>532</v>
      </c>
      <c r="Y435">
        <v>8.3000000000000007</v>
      </c>
      <c r="Z435">
        <v>500</v>
      </c>
      <c r="AA435">
        <v>2000</v>
      </c>
      <c r="AB435">
        <v>50</v>
      </c>
      <c r="AC435" t="s">
        <v>40</v>
      </c>
    </row>
    <row r="436" spans="1:29" x14ac:dyDescent="0.25">
      <c r="A436" t="str">
        <f>"Raman_"&amp;E436&amp;"_"&amp;B436&amp;"_"&amp;AC436&amp;"_"&amp;TEXT(F436, "000")&amp;"_"&amp;TEXT(G436, "000")&amp;"_"&amp;H436&amp;".csv"</f>
        <v>Raman_EG_Pavlovagyrans_raw_002_008_E1.csv</v>
      </c>
      <c r="B436" t="s">
        <v>255</v>
      </c>
      <c r="C436" t="s">
        <v>30</v>
      </c>
      <c r="D436" t="s">
        <v>30</v>
      </c>
      <c r="E436" t="s">
        <v>31</v>
      </c>
      <c r="F436">
        <v>2</v>
      </c>
      <c r="G436">
        <v>8</v>
      </c>
      <c r="H436" t="s">
        <v>155</v>
      </c>
      <c r="I436" t="s">
        <v>256</v>
      </c>
      <c r="J436" t="s">
        <v>34</v>
      </c>
      <c r="L436" t="s">
        <v>30</v>
      </c>
      <c r="M436">
        <v>22</v>
      </c>
      <c r="N436" t="s">
        <v>48</v>
      </c>
      <c r="O436" t="s">
        <v>245</v>
      </c>
      <c r="P436">
        <v>336</v>
      </c>
      <c r="Q436">
        <v>50</v>
      </c>
      <c r="R436" t="s">
        <v>36</v>
      </c>
      <c r="S436">
        <v>12</v>
      </c>
      <c r="T436">
        <v>12</v>
      </c>
      <c r="U436" t="s">
        <v>112</v>
      </c>
      <c r="V436" t="s">
        <v>37</v>
      </c>
      <c r="W436">
        <v>450</v>
      </c>
      <c r="X436">
        <v>532</v>
      </c>
      <c r="Y436">
        <v>8.3000000000000007</v>
      </c>
      <c r="Z436">
        <v>500</v>
      </c>
      <c r="AA436">
        <v>2000</v>
      </c>
      <c r="AB436">
        <v>50</v>
      </c>
      <c r="AC436" t="s">
        <v>40</v>
      </c>
    </row>
    <row r="437" spans="1:29" x14ac:dyDescent="0.25">
      <c r="A437" t="str">
        <f>"Raman_"&amp;E437&amp;"_"&amp;B437&amp;"_"&amp;AC437&amp;"_"&amp;TEXT(F437, "000")&amp;"_"&amp;TEXT(G437, "000")&amp;"_"&amp;H437&amp;".csv"</f>
        <v>Raman_EG_Pavlovagyrans_raw_002_008_E2.csv</v>
      </c>
      <c r="B437" t="s">
        <v>255</v>
      </c>
      <c r="C437" t="s">
        <v>30</v>
      </c>
      <c r="D437" t="s">
        <v>30</v>
      </c>
      <c r="E437" t="s">
        <v>31</v>
      </c>
      <c r="F437">
        <v>2</v>
      </c>
      <c r="G437">
        <v>8</v>
      </c>
      <c r="H437" t="s">
        <v>79</v>
      </c>
      <c r="I437" t="s">
        <v>256</v>
      </c>
      <c r="J437" t="s">
        <v>34</v>
      </c>
      <c r="L437" t="s">
        <v>30</v>
      </c>
      <c r="M437">
        <v>22</v>
      </c>
      <c r="N437" t="s">
        <v>88</v>
      </c>
      <c r="O437" t="s">
        <v>245</v>
      </c>
      <c r="P437">
        <v>336</v>
      </c>
      <c r="Q437">
        <v>50</v>
      </c>
      <c r="R437" t="s">
        <v>36</v>
      </c>
      <c r="S437">
        <v>12</v>
      </c>
      <c r="T437">
        <v>12</v>
      </c>
      <c r="U437" t="s">
        <v>112</v>
      </c>
      <c r="V437" t="s">
        <v>37</v>
      </c>
      <c r="W437">
        <v>450</v>
      </c>
      <c r="X437">
        <v>532</v>
      </c>
      <c r="Y437">
        <v>8.3000000000000007</v>
      </c>
      <c r="Z437">
        <v>500</v>
      </c>
      <c r="AA437">
        <v>2000</v>
      </c>
      <c r="AB437">
        <v>50</v>
      </c>
      <c r="AC437" t="s">
        <v>40</v>
      </c>
    </row>
    <row r="438" spans="1:29" x14ac:dyDescent="0.25">
      <c r="A438" t="str">
        <f>"Raman_"&amp;E438&amp;"_"&amp;B438&amp;"_"&amp;AC438&amp;"_"&amp;TEXT(F438, "000")&amp;"_"&amp;TEXT(G438, "000")&amp;"_"&amp;H438&amp;".csv"</f>
        <v>Raman_EG_Pavlovagyrans_raw_002_008_E3.csv</v>
      </c>
      <c r="B438" t="s">
        <v>255</v>
      </c>
      <c r="C438" t="s">
        <v>30</v>
      </c>
      <c r="D438" t="s">
        <v>30</v>
      </c>
      <c r="E438" t="s">
        <v>31</v>
      </c>
      <c r="F438">
        <v>2</v>
      </c>
      <c r="G438">
        <v>8</v>
      </c>
      <c r="H438" t="s">
        <v>81</v>
      </c>
      <c r="I438" t="s">
        <v>256</v>
      </c>
      <c r="J438" t="s">
        <v>34</v>
      </c>
      <c r="L438" t="s">
        <v>30</v>
      </c>
      <c r="M438">
        <v>22</v>
      </c>
      <c r="N438" t="s">
        <v>50</v>
      </c>
      <c r="O438" t="s">
        <v>245</v>
      </c>
      <c r="P438">
        <v>336</v>
      </c>
      <c r="Q438">
        <v>50</v>
      </c>
      <c r="R438" t="s">
        <v>36</v>
      </c>
      <c r="S438">
        <v>12</v>
      </c>
      <c r="T438">
        <v>12</v>
      </c>
      <c r="U438" t="s">
        <v>112</v>
      </c>
      <c r="V438" t="s">
        <v>37</v>
      </c>
      <c r="W438">
        <v>450</v>
      </c>
      <c r="X438">
        <v>532</v>
      </c>
      <c r="Y438">
        <v>8.3000000000000007</v>
      </c>
      <c r="Z438">
        <v>500</v>
      </c>
      <c r="AA438">
        <v>2000</v>
      </c>
      <c r="AB438">
        <v>50</v>
      </c>
      <c r="AC438" t="s">
        <v>40</v>
      </c>
    </row>
    <row r="439" spans="1:29" x14ac:dyDescent="0.25">
      <c r="A439" t="str">
        <f>"Raman_"&amp;E439&amp;"_"&amp;B439&amp;"_"&amp;AC439&amp;"_"&amp;TEXT(F439, "000")&amp;"_"&amp;TEXT(G439, "000")&amp;"_"&amp;H439&amp;".csv"</f>
        <v>Raman_EG_Pavlovagyrans_raw_002_008_E4.csv</v>
      </c>
      <c r="B439" t="s">
        <v>255</v>
      </c>
      <c r="C439" t="s">
        <v>30</v>
      </c>
      <c r="D439" t="s">
        <v>30</v>
      </c>
      <c r="E439" t="s">
        <v>31</v>
      </c>
      <c r="F439">
        <v>2</v>
      </c>
      <c r="G439">
        <v>8</v>
      </c>
      <c r="H439" t="s">
        <v>83</v>
      </c>
      <c r="I439" t="s">
        <v>256</v>
      </c>
      <c r="J439" t="s">
        <v>34</v>
      </c>
      <c r="L439" t="s">
        <v>30</v>
      </c>
      <c r="M439">
        <v>22</v>
      </c>
      <c r="N439" t="s">
        <v>90</v>
      </c>
      <c r="O439" t="s">
        <v>245</v>
      </c>
      <c r="P439">
        <v>336</v>
      </c>
      <c r="Q439">
        <v>50</v>
      </c>
      <c r="R439" t="s">
        <v>36</v>
      </c>
      <c r="S439">
        <v>12</v>
      </c>
      <c r="T439">
        <v>12</v>
      </c>
      <c r="U439" t="s">
        <v>112</v>
      </c>
      <c r="V439" t="s">
        <v>37</v>
      </c>
      <c r="W439">
        <v>450</v>
      </c>
      <c r="X439">
        <v>532</v>
      </c>
      <c r="Y439">
        <v>8.3000000000000007</v>
      </c>
      <c r="Z439">
        <v>500</v>
      </c>
      <c r="AA439">
        <v>2000</v>
      </c>
      <c r="AB439">
        <v>50</v>
      </c>
      <c r="AC439" t="s">
        <v>40</v>
      </c>
    </row>
    <row r="440" spans="1:29" x14ac:dyDescent="0.25">
      <c r="A440" t="str">
        <f>"Raman_"&amp;E440&amp;"_"&amp;B440&amp;"_"&amp;AC440&amp;"_"&amp;TEXT(F440, "000")&amp;"_"&amp;TEXT(G440, "000")&amp;"_"&amp;H440&amp;".csv"</f>
        <v>Raman_EG_Pavlovagyrans_raw_002_008_E5.csv</v>
      </c>
      <c r="B440" t="s">
        <v>255</v>
      </c>
      <c r="C440" t="s">
        <v>30</v>
      </c>
      <c r="D440" t="s">
        <v>30</v>
      </c>
      <c r="E440" t="s">
        <v>31</v>
      </c>
      <c r="F440">
        <v>2</v>
      </c>
      <c r="G440">
        <v>8</v>
      </c>
      <c r="H440" t="s">
        <v>85</v>
      </c>
      <c r="I440" t="s">
        <v>256</v>
      </c>
      <c r="J440" t="s">
        <v>34</v>
      </c>
      <c r="L440" t="s">
        <v>30</v>
      </c>
      <c r="M440">
        <v>22</v>
      </c>
      <c r="N440" t="s">
        <v>52</v>
      </c>
      <c r="O440" t="s">
        <v>245</v>
      </c>
      <c r="P440">
        <v>336</v>
      </c>
      <c r="Q440">
        <v>50</v>
      </c>
      <c r="R440" t="s">
        <v>36</v>
      </c>
      <c r="S440">
        <v>12</v>
      </c>
      <c r="T440">
        <v>12</v>
      </c>
      <c r="U440" t="s">
        <v>112</v>
      </c>
      <c r="V440" t="s">
        <v>37</v>
      </c>
      <c r="W440">
        <v>450</v>
      </c>
      <c r="X440">
        <v>532</v>
      </c>
      <c r="Y440">
        <v>8.3000000000000007</v>
      </c>
      <c r="Z440">
        <v>500</v>
      </c>
      <c r="AA440">
        <v>2000</v>
      </c>
      <c r="AB440">
        <v>50</v>
      </c>
      <c r="AC440" t="s">
        <v>40</v>
      </c>
    </row>
    <row r="441" spans="1:29" x14ac:dyDescent="0.25">
      <c r="A441" t="str">
        <f>"Raman_"&amp;E441&amp;"_"&amp;B441&amp;"_"&amp;AC441&amp;"_"&amp;TEXT(F441, "000")&amp;"_"&amp;TEXT(G441, "000")&amp;"_"&amp;H441&amp;".csv"</f>
        <v>Raman_EG_Pavlovagyrans_raw_002_008_E6.csv</v>
      </c>
      <c r="B441" t="s">
        <v>255</v>
      </c>
      <c r="C441" t="s">
        <v>30</v>
      </c>
      <c r="D441" t="s">
        <v>30</v>
      </c>
      <c r="E441" t="s">
        <v>31</v>
      </c>
      <c r="F441">
        <v>2</v>
      </c>
      <c r="G441">
        <v>8</v>
      </c>
      <c r="H441" t="s">
        <v>87</v>
      </c>
      <c r="I441" t="s">
        <v>256</v>
      </c>
      <c r="J441" t="s">
        <v>34</v>
      </c>
      <c r="L441" t="s">
        <v>30</v>
      </c>
      <c r="M441">
        <v>22</v>
      </c>
      <c r="N441" t="s">
        <v>92</v>
      </c>
      <c r="O441" t="s">
        <v>245</v>
      </c>
      <c r="P441">
        <v>336</v>
      </c>
      <c r="Q441">
        <v>50</v>
      </c>
      <c r="R441" t="s">
        <v>36</v>
      </c>
      <c r="S441">
        <v>12</v>
      </c>
      <c r="T441">
        <v>12</v>
      </c>
      <c r="U441" t="s">
        <v>112</v>
      </c>
      <c r="V441" t="s">
        <v>37</v>
      </c>
      <c r="W441">
        <v>450</v>
      </c>
      <c r="X441">
        <v>532</v>
      </c>
      <c r="Y441">
        <v>8.3000000000000007</v>
      </c>
      <c r="Z441">
        <v>500</v>
      </c>
      <c r="AA441">
        <v>2000</v>
      </c>
      <c r="AB441">
        <v>50</v>
      </c>
      <c r="AC441" t="s">
        <v>40</v>
      </c>
    </row>
    <row r="442" spans="1:29" x14ac:dyDescent="0.25">
      <c r="A442" t="str">
        <f>"Raman_"&amp;E442&amp;"_"&amp;B442&amp;"_"&amp;AC442&amp;"_"&amp;TEXT(F442, "000")&amp;"_"&amp;TEXT(G442, "000")&amp;"_"&amp;H442&amp;".csv"</f>
        <v>Raman_EG_Pavlovagyrans_raw_002_008_E7.csv</v>
      </c>
      <c r="B442" t="s">
        <v>255</v>
      </c>
      <c r="C442" t="s">
        <v>30</v>
      </c>
      <c r="D442" t="s">
        <v>30</v>
      </c>
      <c r="E442" t="s">
        <v>31</v>
      </c>
      <c r="F442">
        <v>2</v>
      </c>
      <c r="G442">
        <v>8</v>
      </c>
      <c r="H442" t="s">
        <v>89</v>
      </c>
      <c r="I442" t="s">
        <v>256</v>
      </c>
      <c r="J442" t="s">
        <v>34</v>
      </c>
      <c r="L442" t="s">
        <v>30</v>
      </c>
      <c r="M442">
        <v>22</v>
      </c>
      <c r="N442" t="s">
        <v>54</v>
      </c>
      <c r="O442" t="s">
        <v>245</v>
      </c>
      <c r="P442">
        <v>336</v>
      </c>
      <c r="Q442">
        <v>50</v>
      </c>
      <c r="R442" t="s">
        <v>36</v>
      </c>
      <c r="S442">
        <v>12</v>
      </c>
      <c r="T442">
        <v>12</v>
      </c>
      <c r="U442" t="s">
        <v>112</v>
      </c>
      <c r="V442" t="s">
        <v>37</v>
      </c>
      <c r="W442">
        <v>450</v>
      </c>
      <c r="X442">
        <v>532</v>
      </c>
      <c r="Y442">
        <v>8.3000000000000007</v>
      </c>
      <c r="Z442">
        <v>500</v>
      </c>
      <c r="AA442">
        <v>2000</v>
      </c>
      <c r="AB442">
        <v>50</v>
      </c>
      <c r="AC442" t="s">
        <v>40</v>
      </c>
    </row>
    <row r="443" spans="1:29" x14ac:dyDescent="0.25">
      <c r="A443" t="str">
        <f>"Raman_"&amp;E443&amp;"_"&amp;B443&amp;"_"&amp;AC443&amp;"_"&amp;TEXT(F443, "000")&amp;"_"&amp;TEXT(G443, "000")&amp;"_"&amp;H443&amp;".csv"</f>
        <v>Raman_EG_Pavlovagyrans_raw_002_008_E8.csv</v>
      </c>
      <c r="B443" t="s">
        <v>255</v>
      </c>
      <c r="C443" t="s">
        <v>30</v>
      </c>
      <c r="D443" t="s">
        <v>30</v>
      </c>
      <c r="E443" t="s">
        <v>31</v>
      </c>
      <c r="F443">
        <v>2</v>
      </c>
      <c r="G443">
        <v>8</v>
      </c>
      <c r="H443" t="s">
        <v>91</v>
      </c>
      <c r="I443" t="s">
        <v>256</v>
      </c>
      <c r="J443" t="s">
        <v>34</v>
      </c>
      <c r="L443" t="s">
        <v>30</v>
      </c>
      <c r="M443">
        <v>22</v>
      </c>
      <c r="N443" t="s">
        <v>94</v>
      </c>
      <c r="O443" t="s">
        <v>245</v>
      </c>
      <c r="P443">
        <v>336</v>
      </c>
      <c r="Q443">
        <v>50</v>
      </c>
      <c r="R443" t="s">
        <v>36</v>
      </c>
      <c r="S443">
        <v>12</v>
      </c>
      <c r="T443">
        <v>12</v>
      </c>
      <c r="U443" t="s">
        <v>112</v>
      </c>
      <c r="V443" t="s">
        <v>37</v>
      </c>
      <c r="W443">
        <v>450</v>
      </c>
      <c r="X443">
        <v>532</v>
      </c>
      <c r="Y443">
        <v>8.3000000000000007</v>
      </c>
      <c r="Z443">
        <v>500</v>
      </c>
      <c r="AA443">
        <v>2000</v>
      </c>
      <c r="AB443">
        <v>50</v>
      </c>
      <c r="AC443" t="s">
        <v>40</v>
      </c>
    </row>
    <row r="444" spans="1:29" x14ac:dyDescent="0.25">
      <c r="A444" t="str">
        <f>"Raman_"&amp;E444&amp;"_"&amp;B444&amp;"_"&amp;AC444&amp;"_"&amp;TEXT(F444, "000")&amp;"_"&amp;TEXT(G444, "000")&amp;"_"&amp;H444&amp;".csv"</f>
        <v>Raman_EG_Pavlovagyrans_raw_002_008_E9.csv</v>
      </c>
      <c r="B444" t="s">
        <v>255</v>
      </c>
      <c r="C444" t="s">
        <v>30</v>
      </c>
      <c r="D444" t="s">
        <v>30</v>
      </c>
      <c r="E444" t="s">
        <v>31</v>
      </c>
      <c r="F444">
        <v>2</v>
      </c>
      <c r="G444">
        <v>8</v>
      </c>
      <c r="H444" t="s">
        <v>93</v>
      </c>
      <c r="I444" t="s">
        <v>256</v>
      </c>
      <c r="J444" t="s">
        <v>34</v>
      </c>
      <c r="L444" t="s">
        <v>30</v>
      </c>
      <c r="M444">
        <v>22</v>
      </c>
      <c r="N444" t="s">
        <v>56</v>
      </c>
      <c r="O444" t="s">
        <v>245</v>
      </c>
      <c r="P444">
        <v>336</v>
      </c>
      <c r="Q444">
        <v>50</v>
      </c>
      <c r="R444" t="s">
        <v>36</v>
      </c>
      <c r="S444">
        <v>12</v>
      </c>
      <c r="T444">
        <v>12</v>
      </c>
      <c r="U444" t="s">
        <v>112</v>
      </c>
      <c r="V444" t="s">
        <v>37</v>
      </c>
      <c r="W444">
        <v>450</v>
      </c>
      <c r="X444">
        <v>532</v>
      </c>
      <c r="Y444">
        <v>8.3000000000000007</v>
      </c>
      <c r="Z444">
        <v>500</v>
      </c>
      <c r="AA444">
        <v>2000</v>
      </c>
      <c r="AB444">
        <v>50</v>
      </c>
      <c r="AC444" t="s">
        <v>40</v>
      </c>
    </row>
    <row r="445" spans="1:29" x14ac:dyDescent="0.25">
      <c r="A445" t="str">
        <f>"Raman_"&amp;E445&amp;"_"&amp;B445&amp;"_"&amp;AC445&amp;"_"&amp;TEXT(F445, "000")&amp;"_"&amp;TEXT(G445, "000")&amp;"_"&amp;H445&amp;".csv"</f>
        <v>Raman_EG_Pavlovagyrans_raw_002_008_E10.csv</v>
      </c>
      <c r="B445" t="s">
        <v>255</v>
      </c>
      <c r="C445" t="s">
        <v>30</v>
      </c>
      <c r="D445" t="s">
        <v>30</v>
      </c>
      <c r="E445" t="s">
        <v>31</v>
      </c>
      <c r="F445">
        <v>2</v>
      </c>
      <c r="G445">
        <v>8</v>
      </c>
      <c r="H445" t="s">
        <v>95</v>
      </c>
      <c r="I445" t="s">
        <v>256</v>
      </c>
      <c r="J445" t="s">
        <v>34</v>
      </c>
      <c r="L445" t="s">
        <v>30</v>
      </c>
      <c r="M445">
        <v>22</v>
      </c>
      <c r="N445" t="s">
        <v>96</v>
      </c>
      <c r="O445" t="s">
        <v>245</v>
      </c>
      <c r="P445">
        <v>336</v>
      </c>
      <c r="Q445">
        <v>50</v>
      </c>
      <c r="R445" t="s">
        <v>36</v>
      </c>
      <c r="S445">
        <v>12</v>
      </c>
      <c r="T445">
        <v>12</v>
      </c>
      <c r="U445" t="s">
        <v>112</v>
      </c>
      <c r="V445" t="s">
        <v>37</v>
      </c>
      <c r="W445">
        <v>450</v>
      </c>
      <c r="X445">
        <v>532</v>
      </c>
      <c r="Y445">
        <v>8.3000000000000007</v>
      </c>
      <c r="Z445">
        <v>500</v>
      </c>
      <c r="AA445">
        <v>2000</v>
      </c>
      <c r="AB445">
        <v>50</v>
      </c>
      <c r="AC445" t="s">
        <v>40</v>
      </c>
    </row>
    <row r="446" spans="1:29" x14ac:dyDescent="0.25">
      <c r="A446" t="str">
        <f>"Raman_"&amp;E446&amp;"_"&amp;B446&amp;"_"&amp;AC446&amp;"_"&amp;TEXT(F446, "000")&amp;"_"&amp;TEXT(G446, "000")&amp;"_"&amp;H446&amp;".csv"</f>
        <v>Raman_EG_Pavlovagyrans_raw_002_008_E11.csv</v>
      </c>
      <c r="B446" t="s">
        <v>255</v>
      </c>
      <c r="C446" t="s">
        <v>30</v>
      </c>
      <c r="D446" t="s">
        <v>30</v>
      </c>
      <c r="E446" t="s">
        <v>31</v>
      </c>
      <c r="F446">
        <v>2</v>
      </c>
      <c r="G446">
        <v>8</v>
      </c>
      <c r="H446" t="s">
        <v>97</v>
      </c>
      <c r="I446" t="s">
        <v>256</v>
      </c>
      <c r="J446" t="s">
        <v>34</v>
      </c>
      <c r="L446" t="s">
        <v>30</v>
      </c>
      <c r="M446">
        <v>22</v>
      </c>
      <c r="N446" t="s">
        <v>58</v>
      </c>
      <c r="O446" t="s">
        <v>245</v>
      </c>
      <c r="P446">
        <v>336</v>
      </c>
      <c r="Q446">
        <v>50</v>
      </c>
      <c r="R446" t="s">
        <v>36</v>
      </c>
      <c r="S446">
        <v>12</v>
      </c>
      <c r="T446">
        <v>12</v>
      </c>
      <c r="U446" t="s">
        <v>112</v>
      </c>
      <c r="V446" t="s">
        <v>37</v>
      </c>
      <c r="W446">
        <v>450</v>
      </c>
      <c r="X446">
        <v>532</v>
      </c>
      <c r="Y446">
        <v>8.3000000000000007</v>
      </c>
      <c r="Z446">
        <v>500</v>
      </c>
      <c r="AA446">
        <v>2000</v>
      </c>
      <c r="AB446">
        <v>50</v>
      </c>
      <c r="AC446" t="s">
        <v>40</v>
      </c>
    </row>
    <row r="447" spans="1:29" x14ac:dyDescent="0.25">
      <c r="A447" t="str">
        <f>"Raman_"&amp;E447&amp;"_"&amp;B447&amp;"_"&amp;AC447&amp;"_"&amp;TEXT(F447, "000")&amp;"_"&amp;TEXT(G447, "000")&amp;"_"&amp;H447&amp;".csv"</f>
        <v>Raman_EG_Pavlovagyrans_raw_002_008_F1.csv</v>
      </c>
      <c r="B447" t="s">
        <v>255</v>
      </c>
      <c r="C447" t="s">
        <v>30</v>
      </c>
      <c r="D447" t="s">
        <v>30</v>
      </c>
      <c r="E447" t="s">
        <v>31</v>
      </c>
      <c r="F447">
        <v>2</v>
      </c>
      <c r="G447">
        <v>8</v>
      </c>
      <c r="H447" t="s">
        <v>164</v>
      </c>
      <c r="I447" t="s">
        <v>256</v>
      </c>
      <c r="J447" t="s">
        <v>34</v>
      </c>
      <c r="L447" t="s">
        <v>30</v>
      </c>
      <c r="M447">
        <v>22</v>
      </c>
      <c r="N447" t="s">
        <v>48</v>
      </c>
      <c r="O447" t="s">
        <v>245</v>
      </c>
      <c r="P447">
        <v>336</v>
      </c>
      <c r="Q447">
        <v>50</v>
      </c>
      <c r="R447" t="s">
        <v>36</v>
      </c>
      <c r="S447">
        <v>12</v>
      </c>
      <c r="T447">
        <v>12</v>
      </c>
      <c r="U447" t="s">
        <v>112</v>
      </c>
      <c r="V447" t="s">
        <v>37</v>
      </c>
      <c r="W447">
        <v>450</v>
      </c>
      <c r="X447">
        <v>532</v>
      </c>
      <c r="Y447">
        <v>8.3000000000000007</v>
      </c>
      <c r="Z447">
        <v>500</v>
      </c>
      <c r="AA447">
        <v>2000</v>
      </c>
      <c r="AB447">
        <v>50</v>
      </c>
      <c r="AC447" t="s">
        <v>40</v>
      </c>
    </row>
    <row r="448" spans="1:29" x14ac:dyDescent="0.25">
      <c r="A448" t="str">
        <f>"Raman_"&amp;E448&amp;"_"&amp;B448&amp;"_"&amp;AC448&amp;"_"&amp;TEXT(F448, "000")&amp;"_"&amp;TEXT(G448, "000")&amp;"_"&amp;H448&amp;".csv"</f>
        <v>Raman_EG_Pavlovagyrans_raw_002_008_F2.csv</v>
      </c>
      <c r="B448" t="s">
        <v>255</v>
      </c>
      <c r="C448" t="s">
        <v>30</v>
      </c>
      <c r="D448" t="s">
        <v>30</v>
      </c>
      <c r="E448" t="s">
        <v>31</v>
      </c>
      <c r="F448">
        <v>2</v>
      </c>
      <c r="G448">
        <v>8</v>
      </c>
      <c r="H448" t="s">
        <v>98</v>
      </c>
      <c r="I448" t="s">
        <v>256</v>
      </c>
      <c r="J448" t="s">
        <v>34</v>
      </c>
      <c r="L448" t="s">
        <v>30</v>
      </c>
      <c r="M448">
        <v>22</v>
      </c>
      <c r="N448" t="s">
        <v>88</v>
      </c>
      <c r="O448" t="s">
        <v>245</v>
      </c>
      <c r="P448">
        <v>336</v>
      </c>
      <c r="Q448">
        <v>50</v>
      </c>
      <c r="R448" t="s">
        <v>36</v>
      </c>
      <c r="S448">
        <v>12</v>
      </c>
      <c r="T448">
        <v>12</v>
      </c>
      <c r="U448" t="s">
        <v>112</v>
      </c>
      <c r="V448" t="s">
        <v>37</v>
      </c>
      <c r="W448">
        <v>450</v>
      </c>
      <c r="X448">
        <v>532</v>
      </c>
      <c r="Y448">
        <v>8.3000000000000007</v>
      </c>
      <c r="Z448">
        <v>500</v>
      </c>
      <c r="AA448">
        <v>2000</v>
      </c>
      <c r="AB448">
        <v>50</v>
      </c>
      <c r="AC448" t="s">
        <v>40</v>
      </c>
    </row>
    <row r="449" spans="1:29" x14ac:dyDescent="0.25">
      <c r="A449" t="str">
        <f>"Raman_"&amp;E449&amp;"_"&amp;B449&amp;"_"&amp;AC449&amp;"_"&amp;TEXT(F449, "000")&amp;"_"&amp;TEXT(G449, "000")&amp;"_"&amp;H449&amp;".csv"</f>
        <v>Raman_EG_Pavlovagyrans_raw_002_008_F3.csv</v>
      </c>
      <c r="B449" t="s">
        <v>255</v>
      </c>
      <c r="C449" t="s">
        <v>30</v>
      </c>
      <c r="D449" t="s">
        <v>30</v>
      </c>
      <c r="E449" t="s">
        <v>31</v>
      </c>
      <c r="F449">
        <v>2</v>
      </c>
      <c r="G449">
        <v>8</v>
      </c>
      <c r="H449" t="s">
        <v>99</v>
      </c>
      <c r="I449" t="s">
        <v>256</v>
      </c>
      <c r="J449" t="s">
        <v>34</v>
      </c>
      <c r="L449" t="s">
        <v>30</v>
      </c>
      <c r="M449">
        <v>22</v>
      </c>
      <c r="N449" t="s">
        <v>50</v>
      </c>
      <c r="O449" t="s">
        <v>245</v>
      </c>
      <c r="P449">
        <v>336</v>
      </c>
      <c r="Q449">
        <v>50</v>
      </c>
      <c r="R449" t="s">
        <v>36</v>
      </c>
      <c r="S449">
        <v>12</v>
      </c>
      <c r="T449">
        <v>12</v>
      </c>
      <c r="U449" t="s">
        <v>112</v>
      </c>
      <c r="V449" t="s">
        <v>37</v>
      </c>
      <c r="W449">
        <v>450</v>
      </c>
      <c r="X449">
        <v>532</v>
      </c>
      <c r="Y449">
        <v>8.3000000000000007</v>
      </c>
      <c r="Z449">
        <v>500</v>
      </c>
      <c r="AA449">
        <v>2000</v>
      </c>
      <c r="AB449">
        <v>50</v>
      </c>
      <c r="AC449" t="s">
        <v>40</v>
      </c>
    </row>
    <row r="450" spans="1:29" x14ac:dyDescent="0.25">
      <c r="A450" t="str">
        <f>"Raman_"&amp;E450&amp;"_"&amp;B450&amp;"_"&amp;AC450&amp;"_"&amp;TEXT(F450, "000")&amp;"_"&amp;TEXT(G450, "000")&amp;"_"&amp;H450&amp;".csv"</f>
        <v>Raman_EG_Pavlovagyrans_raw_002_008_F4.csv</v>
      </c>
      <c r="B450" t="s">
        <v>255</v>
      </c>
      <c r="C450" t="s">
        <v>30</v>
      </c>
      <c r="D450" t="s">
        <v>30</v>
      </c>
      <c r="E450" t="s">
        <v>31</v>
      </c>
      <c r="F450">
        <v>2</v>
      </c>
      <c r="G450">
        <v>8</v>
      </c>
      <c r="H450" t="s">
        <v>100</v>
      </c>
      <c r="I450" t="s">
        <v>256</v>
      </c>
      <c r="J450" t="s">
        <v>34</v>
      </c>
      <c r="L450" t="s">
        <v>30</v>
      </c>
      <c r="M450">
        <v>22</v>
      </c>
      <c r="N450" t="s">
        <v>90</v>
      </c>
      <c r="O450" t="s">
        <v>245</v>
      </c>
      <c r="P450">
        <v>336</v>
      </c>
      <c r="Q450">
        <v>50</v>
      </c>
      <c r="R450" t="s">
        <v>36</v>
      </c>
      <c r="S450">
        <v>12</v>
      </c>
      <c r="T450">
        <v>12</v>
      </c>
      <c r="U450" t="s">
        <v>112</v>
      </c>
      <c r="V450" t="s">
        <v>37</v>
      </c>
      <c r="W450">
        <v>450</v>
      </c>
      <c r="X450">
        <v>532</v>
      </c>
      <c r="Y450">
        <v>8.3000000000000007</v>
      </c>
      <c r="Z450">
        <v>500</v>
      </c>
      <c r="AA450">
        <v>2000</v>
      </c>
      <c r="AB450">
        <v>50</v>
      </c>
      <c r="AC450" t="s">
        <v>40</v>
      </c>
    </row>
    <row r="451" spans="1:29" x14ac:dyDescent="0.25">
      <c r="A451" t="str">
        <f>"Raman_"&amp;E451&amp;"_"&amp;B451&amp;"_"&amp;AC451&amp;"_"&amp;TEXT(F451, "000")&amp;"_"&amp;TEXT(G451, "000")&amp;"_"&amp;H451&amp;".csv"</f>
        <v>Raman_EG_Pavlovagyrans_raw_002_008_F5.csv</v>
      </c>
      <c r="B451" t="s">
        <v>255</v>
      </c>
      <c r="C451" t="s">
        <v>30</v>
      </c>
      <c r="D451" t="s">
        <v>30</v>
      </c>
      <c r="E451" t="s">
        <v>31</v>
      </c>
      <c r="F451">
        <v>2</v>
      </c>
      <c r="G451">
        <v>8</v>
      </c>
      <c r="H451" t="s">
        <v>101</v>
      </c>
      <c r="I451" t="s">
        <v>256</v>
      </c>
      <c r="J451" t="s">
        <v>34</v>
      </c>
      <c r="L451" t="s">
        <v>30</v>
      </c>
      <c r="M451">
        <v>22</v>
      </c>
      <c r="N451" t="s">
        <v>52</v>
      </c>
      <c r="O451" t="s">
        <v>245</v>
      </c>
      <c r="P451">
        <v>336</v>
      </c>
      <c r="Q451">
        <v>50</v>
      </c>
      <c r="R451" t="s">
        <v>36</v>
      </c>
      <c r="S451">
        <v>12</v>
      </c>
      <c r="T451">
        <v>12</v>
      </c>
      <c r="U451" t="s">
        <v>112</v>
      </c>
      <c r="V451" t="s">
        <v>37</v>
      </c>
      <c r="W451">
        <v>450</v>
      </c>
      <c r="X451">
        <v>532</v>
      </c>
      <c r="Y451">
        <v>8.3000000000000007</v>
      </c>
      <c r="Z451">
        <v>500</v>
      </c>
      <c r="AA451">
        <v>2000</v>
      </c>
      <c r="AB451">
        <v>50</v>
      </c>
      <c r="AC451" t="s">
        <v>40</v>
      </c>
    </row>
    <row r="452" spans="1:29" x14ac:dyDescent="0.25">
      <c r="A452" t="str">
        <f>"Raman_"&amp;E452&amp;"_"&amp;B452&amp;"_"&amp;AC452&amp;"_"&amp;TEXT(F452, "000")&amp;"_"&amp;TEXT(G452, "000")&amp;"_"&amp;H452&amp;".csv"</f>
        <v>Raman_EG_Pavlovagyrans_raw_002_008_F6.csv</v>
      </c>
      <c r="B452" t="s">
        <v>255</v>
      </c>
      <c r="C452" t="s">
        <v>30</v>
      </c>
      <c r="D452" t="s">
        <v>30</v>
      </c>
      <c r="E452" t="s">
        <v>31</v>
      </c>
      <c r="F452">
        <v>2</v>
      </c>
      <c r="G452">
        <v>8</v>
      </c>
      <c r="H452" t="s">
        <v>102</v>
      </c>
      <c r="I452" t="s">
        <v>256</v>
      </c>
      <c r="J452" t="s">
        <v>34</v>
      </c>
      <c r="L452" t="s">
        <v>30</v>
      </c>
      <c r="M452">
        <v>22</v>
      </c>
      <c r="N452" t="s">
        <v>92</v>
      </c>
      <c r="O452" t="s">
        <v>245</v>
      </c>
      <c r="P452">
        <v>336</v>
      </c>
      <c r="Q452">
        <v>50</v>
      </c>
      <c r="R452" t="s">
        <v>36</v>
      </c>
      <c r="S452">
        <v>12</v>
      </c>
      <c r="T452">
        <v>12</v>
      </c>
      <c r="U452" t="s">
        <v>112</v>
      </c>
      <c r="V452" t="s">
        <v>37</v>
      </c>
      <c r="W452">
        <v>450</v>
      </c>
      <c r="X452">
        <v>532</v>
      </c>
      <c r="Y452">
        <v>8.3000000000000007</v>
      </c>
      <c r="Z452">
        <v>500</v>
      </c>
      <c r="AA452">
        <v>2000</v>
      </c>
      <c r="AB452">
        <v>50</v>
      </c>
      <c r="AC452" t="s">
        <v>40</v>
      </c>
    </row>
    <row r="453" spans="1:29" x14ac:dyDescent="0.25">
      <c r="A453" t="str">
        <f>"Raman_"&amp;E453&amp;"_"&amp;B453&amp;"_"&amp;AC453&amp;"_"&amp;TEXT(F453, "000")&amp;"_"&amp;TEXT(G453, "000")&amp;"_"&amp;H453&amp;".csv"</f>
        <v>Raman_EG_Pavlovagyrans_raw_002_008_F7.csv</v>
      </c>
      <c r="B453" t="s">
        <v>255</v>
      </c>
      <c r="C453" t="s">
        <v>30</v>
      </c>
      <c r="D453" t="s">
        <v>30</v>
      </c>
      <c r="E453" t="s">
        <v>31</v>
      </c>
      <c r="F453">
        <v>2</v>
      </c>
      <c r="G453">
        <v>8</v>
      </c>
      <c r="H453" t="s">
        <v>103</v>
      </c>
      <c r="I453" t="s">
        <v>256</v>
      </c>
      <c r="J453" t="s">
        <v>34</v>
      </c>
      <c r="L453" t="s">
        <v>30</v>
      </c>
      <c r="M453">
        <v>22</v>
      </c>
      <c r="N453" t="s">
        <v>54</v>
      </c>
      <c r="O453" t="s">
        <v>245</v>
      </c>
      <c r="P453">
        <v>336</v>
      </c>
      <c r="Q453">
        <v>50</v>
      </c>
      <c r="R453" t="s">
        <v>36</v>
      </c>
      <c r="S453">
        <v>12</v>
      </c>
      <c r="T453">
        <v>12</v>
      </c>
      <c r="U453" t="s">
        <v>112</v>
      </c>
      <c r="V453" t="s">
        <v>37</v>
      </c>
      <c r="W453">
        <v>450</v>
      </c>
      <c r="X453">
        <v>532</v>
      </c>
      <c r="Y453">
        <v>8.3000000000000007</v>
      </c>
      <c r="Z453">
        <v>500</v>
      </c>
      <c r="AA453">
        <v>2000</v>
      </c>
      <c r="AB453">
        <v>50</v>
      </c>
      <c r="AC453" t="s">
        <v>40</v>
      </c>
    </row>
    <row r="454" spans="1:29" x14ac:dyDescent="0.25">
      <c r="A454" t="str">
        <f>"Raman_"&amp;E454&amp;"_"&amp;B454&amp;"_"&amp;AC454&amp;"_"&amp;TEXT(F454, "000")&amp;"_"&amp;TEXT(G454, "000")&amp;"_"&amp;H454&amp;".csv"</f>
        <v>Raman_EG_Pavlovagyrans_raw_002_008_F8.csv</v>
      </c>
      <c r="B454" t="s">
        <v>255</v>
      </c>
      <c r="C454" t="s">
        <v>30</v>
      </c>
      <c r="D454" t="s">
        <v>30</v>
      </c>
      <c r="E454" t="s">
        <v>31</v>
      </c>
      <c r="F454">
        <v>2</v>
      </c>
      <c r="G454">
        <v>8</v>
      </c>
      <c r="H454" t="s">
        <v>104</v>
      </c>
      <c r="I454" t="s">
        <v>256</v>
      </c>
      <c r="J454" t="s">
        <v>34</v>
      </c>
      <c r="L454" t="s">
        <v>30</v>
      </c>
      <c r="M454">
        <v>22</v>
      </c>
      <c r="N454" t="s">
        <v>94</v>
      </c>
      <c r="O454" t="s">
        <v>245</v>
      </c>
      <c r="P454">
        <v>336</v>
      </c>
      <c r="Q454">
        <v>50</v>
      </c>
      <c r="R454" t="s">
        <v>36</v>
      </c>
      <c r="S454">
        <v>12</v>
      </c>
      <c r="T454">
        <v>12</v>
      </c>
      <c r="U454" t="s">
        <v>112</v>
      </c>
      <c r="V454" t="s">
        <v>37</v>
      </c>
      <c r="W454">
        <v>450</v>
      </c>
      <c r="X454">
        <v>532</v>
      </c>
      <c r="Y454">
        <v>8.3000000000000007</v>
      </c>
      <c r="Z454">
        <v>500</v>
      </c>
      <c r="AA454">
        <v>2000</v>
      </c>
      <c r="AB454">
        <v>50</v>
      </c>
      <c r="AC454" t="s">
        <v>40</v>
      </c>
    </row>
    <row r="455" spans="1:29" x14ac:dyDescent="0.25">
      <c r="A455" t="str">
        <f>"Raman_"&amp;E455&amp;"_"&amp;B455&amp;"_"&amp;AC455&amp;"_"&amp;TEXT(F455, "000")&amp;"_"&amp;TEXT(G455, "000")&amp;"_"&amp;H455&amp;".csv"</f>
        <v>Raman_EG_Pavlovagyrans_raw_002_008_F9.csv</v>
      </c>
      <c r="B455" t="s">
        <v>255</v>
      </c>
      <c r="C455" t="s">
        <v>30</v>
      </c>
      <c r="D455" t="s">
        <v>30</v>
      </c>
      <c r="E455" t="s">
        <v>31</v>
      </c>
      <c r="F455">
        <v>2</v>
      </c>
      <c r="G455">
        <v>8</v>
      </c>
      <c r="H455" t="s">
        <v>105</v>
      </c>
      <c r="I455" t="s">
        <v>256</v>
      </c>
      <c r="J455" t="s">
        <v>34</v>
      </c>
      <c r="L455" t="s">
        <v>30</v>
      </c>
      <c r="M455">
        <v>22</v>
      </c>
      <c r="N455" t="s">
        <v>56</v>
      </c>
      <c r="O455" t="s">
        <v>245</v>
      </c>
      <c r="P455">
        <v>336</v>
      </c>
      <c r="Q455">
        <v>50</v>
      </c>
      <c r="R455" t="s">
        <v>36</v>
      </c>
      <c r="S455">
        <v>12</v>
      </c>
      <c r="T455">
        <v>12</v>
      </c>
      <c r="U455" t="s">
        <v>112</v>
      </c>
      <c r="V455" t="s">
        <v>37</v>
      </c>
      <c r="W455">
        <v>450</v>
      </c>
      <c r="X455">
        <v>532</v>
      </c>
      <c r="Y455">
        <v>8.3000000000000007</v>
      </c>
      <c r="Z455">
        <v>500</v>
      </c>
      <c r="AA455">
        <v>2000</v>
      </c>
      <c r="AB455">
        <v>50</v>
      </c>
      <c r="AC455" t="s">
        <v>40</v>
      </c>
    </row>
    <row r="456" spans="1:29" x14ac:dyDescent="0.25">
      <c r="A456" t="str">
        <f>"Raman_"&amp;E456&amp;"_"&amp;B456&amp;"_"&amp;AC456&amp;"_"&amp;TEXT(F456, "000")&amp;"_"&amp;TEXT(G456, "000")&amp;"_"&amp;H456&amp;".csv"</f>
        <v>Raman_EG_Pavlovagyrans_raw_002_008_F10.csv</v>
      </c>
      <c r="B456" t="s">
        <v>255</v>
      </c>
      <c r="C456" t="s">
        <v>30</v>
      </c>
      <c r="D456" t="s">
        <v>30</v>
      </c>
      <c r="E456" t="s">
        <v>31</v>
      </c>
      <c r="F456">
        <v>2</v>
      </c>
      <c r="G456">
        <v>8</v>
      </c>
      <c r="H456" t="s">
        <v>106</v>
      </c>
      <c r="I456" t="s">
        <v>256</v>
      </c>
      <c r="J456" t="s">
        <v>34</v>
      </c>
      <c r="L456" t="s">
        <v>30</v>
      </c>
      <c r="M456">
        <v>22</v>
      </c>
      <c r="N456" t="s">
        <v>96</v>
      </c>
      <c r="O456" t="s">
        <v>245</v>
      </c>
      <c r="P456">
        <v>336</v>
      </c>
      <c r="Q456">
        <v>50</v>
      </c>
      <c r="R456" t="s">
        <v>36</v>
      </c>
      <c r="S456">
        <v>12</v>
      </c>
      <c r="T456">
        <v>12</v>
      </c>
      <c r="U456" t="s">
        <v>112</v>
      </c>
      <c r="V456" t="s">
        <v>37</v>
      </c>
      <c r="W456">
        <v>450</v>
      </c>
      <c r="X456">
        <v>532</v>
      </c>
      <c r="Y456">
        <v>8.3000000000000007</v>
      </c>
      <c r="Z456">
        <v>500</v>
      </c>
      <c r="AA456">
        <v>2000</v>
      </c>
      <c r="AB456">
        <v>50</v>
      </c>
      <c r="AC456" t="s">
        <v>40</v>
      </c>
    </row>
    <row r="457" spans="1:29" x14ac:dyDescent="0.25">
      <c r="A457" t="str">
        <f>"Raman_"&amp;E457&amp;"_"&amp;B457&amp;"_"&amp;AC457&amp;"_"&amp;TEXT(F457, "000")&amp;"_"&amp;TEXT(G457, "000")&amp;"_"&amp;H457&amp;".csv"</f>
        <v>Raman_EG_Pavlovagyrans_raw_002_008_F11.csv</v>
      </c>
      <c r="B457" t="s">
        <v>255</v>
      </c>
      <c r="C457" t="s">
        <v>30</v>
      </c>
      <c r="D457" t="s">
        <v>30</v>
      </c>
      <c r="E457" t="s">
        <v>31</v>
      </c>
      <c r="F457">
        <v>2</v>
      </c>
      <c r="G457">
        <v>8</v>
      </c>
      <c r="H457" t="s">
        <v>107</v>
      </c>
      <c r="I457" t="s">
        <v>256</v>
      </c>
      <c r="J457" t="s">
        <v>34</v>
      </c>
      <c r="L457" t="s">
        <v>30</v>
      </c>
      <c r="M457">
        <v>22</v>
      </c>
      <c r="N457" t="s">
        <v>58</v>
      </c>
      <c r="O457" t="s">
        <v>245</v>
      </c>
      <c r="P457">
        <v>336</v>
      </c>
      <c r="Q457">
        <v>50</v>
      </c>
      <c r="R457" t="s">
        <v>36</v>
      </c>
      <c r="S457">
        <v>12</v>
      </c>
      <c r="T457">
        <v>12</v>
      </c>
      <c r="U457" t="s">
        <v>112</v>
      </c>
      <c r="V457" t="s">
        <v>37</v>
      </c>
      <c r="W457">
        <v>450</v>
      </c>
      <c r="X457">
        <v>532</v>
      </c>
      <c r="Y457">
        <v>8.3000000000000007</v>
      </c>
      <c r="Z457">
        <v>500</v>
      </c>
      <c r="AA457">
        <v>2000</v>
      </c>
      <c r="AB457">
        <v>50</v>
      </c>
      <c r="AC457" t="s">
        <v>40</v>
      </c>
    </row>
    <row r="458" spans="1:29" x14ac:dyDescent="0.25">
      <c r="A458" t="str">
        <f>"Raman_"&amp;E458&amp;"_"&amp;B458&amp;"_"&amp;AC458&amp;"_"&amp;TEXT(F458, "000")&amp;"_"&amp;TEXT(G458, "000")&amp;"_"&amp;H458&amp;".csv"</f>
        <v>Raman_EG_Pavlovagyrans_raw_003_001_A1.csv</v>
      </c>
      <c r="B458" t="s">
        <v>255</v>
      </c>
      <c r="C458" t="s">
        <v>30</v>
      </c>
      <c r="D458" t="s">
        <v>30</v>
      </c>
      <c r="E458" t="s">
        <v>31</v>
      </c>
      <c r="F458">
        <v>3</v>
      </c>
      <c r="G458">
        <v>1</v>
      </c>
      <c r="H458" t="s">
        <v>110</v>
      </c>
      <c r="I458" t="s">
        <v>256</v>
      </c>
      <c r="J458" t="s">
        <v>34</v>
      </c>
      <c r="L458" t="s">
        <v>30</v>
      </c>
      <c r="M458">
        <v>22</v>
      </c>
      <c r="N458" t="s">
        <v>98</v>
      </c>
      <c r="O458" t="s">
        <v>108</v>
      </c>
      <c r="P458">
        <v>0</v>
      </c>
      <c r="Q458">
        <v>100</v>
      </c>
      <c r="R458" t="s">
        <v>36</v>
      </c>
      <c r="S458">
        <v>12</v>
      </c>
      <c r="T458">
        <v>12</v>
      </c>
      <c r="U458" t="s">
        <v>247</v>
      </c>
      <c r="V458" t="s">
        <v>37</v>
      </c>
      <c r="W458">
        <v>2000</v>
      </c>
      <c r="X458">
        <v>532</v>
      </c>
      <c r="Y458">
        <v>8.3000000000000007</v>
      </c>
      <c r="Z458">
        <v>500</v>
      </c>
      <c r="AA458">
        <v>2000</v>
      </c>
      <c r="AB458">
        <v>50</v>
      </c>
      <c r="AC458" t="s">
        <v>40</v>
      </c>
    </row>
    <row r="459" spans="1:29" x14ac:dyDescent="0.25">
      <c r="A459" t="str">
        <f>"Raman_"&amp;E459&amp;"_"&amp;B459&amp;"_"&amp;AC459&amp;"_"&amp;TEXT(F459, "000")&amp;"_"&amp;TEXT(G459, "000")&amp;"_"&amp;H459&amp;".csv"</f>
        <v>Raman_EG_Pavlovagyrans_raw_003_001_A2.csv</v>
      </c>
      <c r="B459" t="s">
        <v>255</v>
      </c>
      <c r="C459" t="s">
        <v>30</v>
      </c>
      <c r="D459" t="s">
        <v>30</v>
      </c>
      <c r="E459" t="s">
        <v>31</v>
      </c>
      <c r="F459">
        <v>3</v>
      </c>
      <c r="G459">
        <v>1</v>
      </c>
      <c r="H459" t="s">
        <v>114</v>
      </c>
      <c r="I459" t="s">
        <v>256</v>
      </c>
      <c r="J459" t="s">
        <v>34</v>
      </c>
      <c r="L459" t="s">
        <v>30</v>
      </c>
      <c r="M459">
        <v>22</v>
      </c>
      <c r="N459" t="s">
        <v>98</v>
      </c>
      <c r="O459" t="s">
        <v>108</v>
      </c>
      <c r="P459">
        <v>0</v>
      </c>
      <c r="Q459">
        <v>100</v>
      </c>
      <c r="R459" t="s">
        <v>36</v>
      </c>
      <c r="S459">
        <v>12</v>
      </c>
      <c r="T459">
        <v>12</v>
      </c>
      <c r="U459" t="s">
        <v>247</v>
      </c>
      <c r="V459" t="s">
        <v>37</v>
      </c>
      <c r="W459">
        <v>2000</v>
      </c>
      <c r="X459">
        <v>532</v>
      </c>
      <c r="Y459">
        <v>8.3000000000000007</v>
      </c>
      <c r="Z459">
        <v>500</v>
      </c>
      <c r="AA459">
        <v>2000</v>
      </c>
      <c r="AB459">
        <v>50</v>
      </c>
      <c r="AC459" t="s">
        <v>40</v>
      </c>
    </row>
    <row r="460" spans="1:29" x14ac:dyDescent="0.25">
      <c r="A460" t="str">
        <f>"Raman_"&amp;E460&amp;"_"&amp;B460&amp;"_"&amp;AC460&amp;"_"&amp;TEXT(F460, "000")&amp;"_"&amp;TEXT(G460, "000")&amp;"_"&amp;H460&amp;".csv"</f>
        <v>Raman_EG_Pavlovagyrans_raw_003_001_A3.csv</v>
      </c>
      <c r="B460" t="s">
        <v>255</v>
      </c>
      <c r="C460" t="s">
        <v>30</v>
      </c>
      <c r="D460" t="s">
        <v>30</v>
      </c>
      <c r="E460" t="s">
        <v>31</v>
      </c>
      <c r="F460">
        <v>3</v>
      </c>
      <c r="G460">
        <v>1</v>
      </c>
      <c r="H460" t="s">
        <v>116</v>
      </c>
      <c r="I460" t="s">
        <v>256</v>
      </c>
      <c r="J460" t="s">
        <v>34</v>
      </c>
      <c r="L460" t="s">
        <v>30</v>
      </c>
      <c r="M460">
        <v>22</v>
      </c>
      <c r="N460" t="s">
        <v>98</v>
      </c>
      <c r="O460" t="s">
        <v>108</v>
      </c>
      <c r="P460">
        <v>0</v>
      </c>
      <c r="Q460">
        <v>100</v>
      </c>
      <c r="R460" t="s">
        <v>36</v>
      </c>
      <c r="S460">
        <v>12</v>
      </c>
      <c r="T460">
        <v>12</v>
      </c>
      <c r="U460" t="s">
        <v>247</v>
      </c>
      <c r="V460" t="s">
        <v>37</v>
      </c>
      <c r="W460">
        <v>2000</v>
      </c>
      <c r="X460">
        <v>532</v>
      </c>
      <c r="Y460">
        <v>8.3000000000000007</v>
      </c>
      <c r="Z460">
        <v>500</v>
      </c>
      <c r="AA460">
        <v>2000</v>
      </c>
      <c r="AB460">
        <v>50</v>
      </c>
      <c r="AC460" t="s">
        <v>40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6DB5C-A078-4A3A-87D6-7CACE13A1FC7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EEM_Metadata_Flask</vt:lpstr>
      <vt:lpstr>Raman_Metadata_Flask</vt:lpstr>
      <vt:lpstr>HPLC_Metadata_Flask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Abeeha Khalil</dc:creator>
  <cp:keywords/>
  <dc:description/>
  <cp:lastModifiedBy>Emilie Gober</cp:lastModifiedBy>
  <cp:revision/>
  <dcterms:created xsi:type="dcterms:W3CDTF">2026-03-04T23:04:40Z</dcterms:created>
  <dcterms:modified xsi:type="dcterms:W3CDTF">2026-05-08T01:21:18Z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2026-03-04T23:10:16Z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7f449bb9-8b45-4f28-8463-6592dacb5739</vt:lpwstr>
  </property>
  <property fmtid="{D5CDD505-2E9C-101B-9397-08002B2CF9AE}" pid="8" name="MSIP_Label_51a6c3db-1667-4f49-995a-8b9973972958_ContentBits">
    <vt:lpwstr>0</vt:lpwstr>
  </property>
  <property fmtid="{D5CDD505-2E9C-101B-9397-08002B2CF9AE}" pid="9" name="MSIP_Label_51a6c3db-1667-4f49-995a-8b9973972958_Tag">
    <vt:lpwstr>10, 3, 0, 2</vt:lpwstr>
  </property>
</Properties>
</file>